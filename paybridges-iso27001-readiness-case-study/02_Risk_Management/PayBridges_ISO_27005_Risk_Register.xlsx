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27005 Risk Register" sheetId="1" state="visible" r:id="rId3"/>
    <sheet name="Legend &amp; Methodology Re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<sst xmlns="http://schemas.openxmlformats.org/spreadsheetml/2006/main" count="212" uniqueCount="153">
  <si>
    <t xml:space="preserve">Risk ID</t>
  </si>
  <si>
    <t xml:space="preserve">Threat Scenario</t>
  </si>
  <si>
    <t xml:space="preserve">Asset(s) Affected</t>
  </si>
  <si>
    <t xml:space="preserve">Threat Source</t>
  </si>
  <si>
    <t xml:space="preserve">Vulnerability Exploited</t>
  </si>
  <si>
    <t xml:space="preserve">Likelihood (1-5)</t>
  </si>
  <si>
    <t xml:space="preserve">Impact (1-5)</t>
  </si>
  <si>
    <t xml:space="preserve">Inherent Risk Score</t>
  </si>
  <si>
    <t xml:space="preserve">Inherent Rating</t>
  </si>
  <si>
    <t xml:space="preserve">Treatment Option</t>
  </si>
  <si>
    <t xml:space="preserve">Treatment Control(s) - Annex A Ref</t>
  </si>
  <si>
    <t xml:space="preserve">Residual Likelihood (1-5)</t>
  </si>
  <si>
    <t xml:space="preserve">Residual Impact (1-5)</t>
  </si>
  <si>
    <t xml:space="preserve">Residual Risk Score</t>
  </si>
  <si>
    <t xml:space="preserve">Residual Rating</t>
  </si>
  <si>
    <t xml:space="preserve">Risk Owner</t>
  </si>
  <si>
    <t xml:space="preserve">Status</t>
  </si>
  <si>
    <t xml:space="preserve">RR-01</t>
  </si>
  <si>
    <t xml:space="preserve">Compromised engineer credentials via phishing used to access production payroll database</t>
  </si>
  <si>
    <t xml:space="preserve">Production RDS (payroll DB), Okta identities</t>
  </si>
  <si>
    <t xml:space="preserve">External attacker</t>
  </si>
  <si>
    <t xml:space="preserve">Lack of phishing-resistant MFA on all privileged paths</t>
  </si>
  <si>
    <t xml:space="preserve">Mitigate</t>
  </si>
  <si>
    <t xml:space="preserve">A.5.17, A.8.2, A.8.5 (phishing-resistant MFA, JIT privileged access)</t>
  </si>
  <si>
    <t xml:space="preserve">Head of IT/Security</t>
  </si>
  <si>
    <t xml:space="preserve">Treated</t>
  </si>
  <si>
    <t xml:space="preserve">RR-02</t>
  </si>
  <si>
    <t xml:space="preserve">Misconfigured S3 bucket exposes employee PII to the public internet</t>
  </si>
  <si>
    <t xml:space="preserve">S3 buckets (employee records, payslips)</t>
  </si>
  <si>
    <t xml:space="preserve">External attacker / opportunistic scanning</t>
  </si>
  <si>
    <t xml:space="preserve">Absence of automated public-access-block enforcement on new buckets</t>
  </si>
  <si>
    <t xml:space="preserve">A.8.9, A.5.23, A.8.12 (config management, cloud security baseline, DLP)</t>
  </si>
  <si>
    <t xml:space="preserve">VP Engineering</t>
  </si>
  <si>
    <t xml:space="preserve">RR-03</t>
  </si>
  <si>
    <t xml:space="preserve">Privileged insider (DevOps engineer) exfiltrates banking/direct-deposit data</t>
  </si>
  <si>
    <t xml:space="preserve">Production RDS (payroll DB)</t>
  </si>
  <si>
    <t xml:space="preserve">Malicious insider</t>
  </si>
  <si>
    <t xml:space="preserve">Excessive standing privileged access without segregation of duties</t>
  </si>
  <si>
    <t xml:space="preserve">A.5.3, A.8.2, A.8.15, A.8.16 (segregation of duties, privileged access, logging, monitoring)</t>
  </si>
  <si>
    <t xml:space="preserve">CISO</t>
  </si>
  <si>
    <t xml:space="preserve">RR-04</t>
  </si>
  <si>
    <t xml:space="preserve">Ransomware encrypts production RDS and backup snapshots simultaneously</t>
  </si>
  <si>
    <t xml:space="preserve">Production RDS, backup snapshots</t>
  </si>
  <si>
    <t xml:space="preserve">External attacker (ransomware)</t>
  </si>
  <si>
    <t xml:space="preserve">Backups reachable from same IAM trust boundary as production</t>
  </si>
  <si>
    <t xml:space="preserve">A.8.13, A.5.15 (backup isolation, access control segregation)</t>
  </si>
  <si>
    <t xml:space="preserve">RR-05</t>
  </si>
  <si>
    <t xml:space="preserve">Third-party ACH/SEPA banking rail partner suffers a breach exposing PayBridges customer banking data in transit</t>
  </si>
  <si>
    <t xml:space="preserve">Payment integration interfaces</t>
  </si>
  <si>
    <t xml:space="preserve">Third-party/supplier failure</t>
  </si>
  <si>
    <t xml:space="preserve">Insufficient supplier due diligence and monitoring of sub-processor security posture</t>
  </si>
  <si>
    <t xml:space="preserve">A.5.19, A.5.20, A.5.22 (supplier relationships, contractual security terms, supplier monitoring)</t>
  </si>
  <si>
    <t xml:space="preserve">Head of Legal &amp; Compliance</t>
  </si>
  <si>
    <t xml:space="preserve">RR-06</t>
  </si>
  <si>
    <t xml:space="preserve">Insecure Direct Object Reference (IDOR) in payroll API exposes one tenant's data to another tenant</t>
  </si>
  <si>
    <t xml:space="preserve">Payroll microservice API</t>
  </si>
  <si>
    <t xml:space="preserve">External attacker / malicious customer user</t>
  </si>
  <si>
    <t xml:space="preserve">Missing tenant-scoped authorization checks at the API layer</t>
  </si>
  <si>
    <t xml:space="preserve">A.8.26, A.8.28, A.8.29 (application security requirements, secure coding, security testing)</t>
  </si>
  <si>
    <t xml:space="preserve">In Progress</t>
  </si>
  <si>
    <t xml:space="preserve">RR-07</t>
  </si>
  <si>
    <t xml:space="preserve">Unpatched critical CVE in container base image is exploited to gain container escape</t>
  </si>
  <si>
    <t xml:space="preserve">ECS containers (all microservices)</t>
  </si>
  <si>
    <t xml:space="preserve">Delayed patch/vulnerability management cadence for base images</t>
  </si>
  <si>
    <t xml:space="preserve">A.8.8, A.8.9 (vulnerability management, configuration management)</t>
  </si>
  <si>
    <t xml:space="preserve">RR-08</t>
  </si>
  <si>
    <t xml:space="preserve">GitHub Actions secrets are leaked via a compromised third-party Action, enabling malicious code injection into the deployment pipeline</t>
  </si>
  <si>
    <t xml:space="preserve">CI/CD pipeline, production deploy credentials</t>
  </si>
  <si>
    <t xml:space="preserve">External attacker (supply chain)</t>
  </si>
  <si>
    <t xml:space="preserve">Use of unpinned/unverified third-party GitHub Actions with broad secret scope</t>
  </si>
  <si>
    <t xml:space="preserve">A.8.32, A.5.21, A.8.9 (change management, ICT supply chain, config management)</t>
  </si>
  <si>
    <t xml:space="preserve">RR-09</t>
  </si>
  <si>
    <t xml:space="preserve">Terminated employee's access is not revoked in time, enabling continued system access post-termination</t>
  </si>
  <si>
    <t xml:space="preserve">Okta, AWS IAM, GitHub org access</t>
  </si>
  <si>
    <t xml:space="preserve">Disgruntled former employee</t>
  </si>
  <si>
    <t xml:space="preserve">Manual, non-automated offboarding process dependent on HR ticket timeliness</t>
  </si>
  <si>
    <t xml:space="preserve">A.6.5, A.5.16, A.5.18 (post-termination responsibilities, identity management, access review)</t>
  </si>
  <si>
    <t xml:space="preserve">Head of People</t>
  </si>
  <si>
    <t xml:space="preserve">RR-10</t>
  </si>
  <si>
    <t xml:space="preserve">Distributed Denial of Service (DDoS) attack against the customer payroll portal during a scheduled pay-run window</t>
  </si>
  <si>
    <t xml:space="preserve">Customer-facing web application, ALB/CloudFront</t>
  </si>
  <si>
    <t xml:space="preserve">External attacker (hacktivist/extortion)</t>
  </si>
  <si>
    <t xml:space="preserve">No managed DDoS mitigation service in front of customer-facing endpoints</t>
  </si>
  <si>
    <t xml:space="preserve">A.8.6, A.8.14 (capacity management, redundancy of processing facilities)</t>
  </si>
  <si>
    <t xml:space="preserve">RR-11</t>
  </si>
  <si>
    <t xml:space="preserve">Loss or mismanagement of AWS KMS Customer Master Key renders encrypted payroll data permanently unrecoverable</t>
  </si>
  <si>
    <t xml:space="preserve">AWS KMS, all encrypted Restricted data</t>
  </si>
  <si>
    <t xml:space="preserve">Operational error / negligent insider</t>
  </si>
  <si>
    <t xml:space="preserve">No documented key rotation/backup and recovery procedure for CMKs</t>
  </si>
  <si>
    <t xml:space="preserve">A.8.24, A.5.37 (use of cryptography, documented operating procedures)</t>
  </si>
  <si>
    <t xml:space="preserve">RR-12</t>
  </si>
  <si>
    <t xml:space="preserve">Insufficient logging and monitoring delays detection of an active breach beyond the containment window</t>
  </si>
  <si>
    <t xml:space="preserve">All production systems</t>
  </si>
  <si>
    <t xml:space="preserve">N/A (detective control gap)</t>
  </si>
  <si>
    <t xml:space="preserve">Inconsistent log retention and absence of centralized alerting on anomalous access patterns</t>
  </si>
  <si>
    <t xml:space="preserve">A.8.15, A.8.16, A.5.25 (logging, monitoring, assessment of security events)</t>
  </si>
  <si>
    <t xml:space="preserve">RR-13</t>
  </si>
  <si>
    <t xml:space="preserve">Cross-border transfer of EU employee PII to US-region infrastructure without an adequate transfer mechanism</t>
  </si>
  <si>
    <t xml:space="preserve">EU customer employee PII</t>
  </si>
  <si>
    <t xml:space="preserve">Regulatory / compliance risk</t>
  </si>
  <si>
    <t xml:space="preserve">No documented Standard Contractual Clauses or region-pinning for EU tenant data</t>
  </si>
  <si>
    <t xml:space="preserve">A.5.31, A.5.34 (legal/regulatory requirements, privacy and protection of PII)</t>
  </si>
  <si>
    <t xml:space="preserve">RR-14</t>
  </si>
  <si>
    <t xml:space="preserve">Compromised open-source dependency (npm/pip package) introduces malicious code into the payroll application</t>
  </si>
  <si>
    <t xml:space="preserve">Application build pipeline, production containers</t>
  </si>
  <si>
    <t xml:space="preserve">No software composition analysis (SCA) or dependency pinning enforced in CI</t>
  </si>
  <si>
    <t xml:space="preserve">A.8.28, A.8.8, A.5.21 (secure coding, vulnerability management, ICT supply chain)</t>
  </si>
  <si>
    <t xml:space="preserve">RR-15</t>
  </si>
  <si>
    <t xml:space="preserve">Business email compromise targeting Finance to redirect a customer's payroll disbursement to a fraudulent account</t>
  </si>
  <si>
    <t xml:space="preserve">Finance/Payments team, banking rail integration</t>
  </si>
  <si>
    <t xml:space="preserve">External attacker (social engineering / BEC)</t>
  </si>
  <si>
    <t xml:space="preserve">No out-of-band verification requirement for changes to customer bank account details</t>
  </si>
  <si>
    <t xml:space="preserve">A.6.3, A.5.24 (security awareness training, incident management planning)</t>
  </si>
  <si>
    <t xml:space="preserve">RR-16</t>
  </si>
  <si>
    <t xml:space="preserve">Untested disaster recovery plan fails during an actual regional AWS outage, extending a pay-run outage beyond SLA</t>
  </si>
  <si>
    <t xml:space="preserve">Production infrastructure (multi-AZ/region)</t>
  </si>
  <si>
    <t xml:space="preserve">Environmental / cloud provider outage</t>
  </si>
  <si>
    <t xml:space="preserve">DR runbook exists but has not been tested via a live failover exercise</t>
  </si>
  <si>
    <t xml:space="preserve">A.5.29, A.5.30 (information security during disruption, ICT readiness for business continuity)</t>
  </si>
  <si>
    <t xml:space="preserve">RR-17</t>
  </si>
  <si>
    <t xml:space="preserve">Privileged DevOps engineer directly modifies payroll records in production outside the change management process</t>
  </si>
  <si>
    <t xml:space="preserve">Malicious or negligent insider</t>
  </si>
  <si>
    <t xml:space="preserve">Standing direct database write access without an approved-change gate</t>
  </si>
  <si>
    <t xml:space="preserve">A.8.32, A.5.3, A.8.16 (change management, segregation of duties, monitoring)</t>
  </si>
  <si>
    <t xml:space="preserve">RR-18</t>
  </si>
  <si>
    <t xml:space="preserve">Lost or stolen employee laptop containing locally cached customer PII is accessed by an unauthorized party</t>
  </si>
  <si>
    <t xml:space="preserve">Employee endpoints</t>
  </si>
  <si>
    <t xml:space="preserve">Opportunistic theft</t>
  </si>
  <si>
    <t xml:space="preserve">Inconsistent enforcement of full-disk encryption and remote wipe across all endpoints</t>
  </si>
  <si>
    <t xml:space="preserve">A.7.9, A.8.1, A.5.11 (assets off-premises, endpoint devices, return of assets)</t>
  </si>
  <si>
    <t xml:space="preserve">RR-19</t>
  </si>
  <si>
    <t xml:space="preserve">Sub-processor providing transactional email delivery (payslip PDFs) suffers a breach exposing message content</t>
  </si>
  <si>
    <t xml:space="preserve">Email delivery sub-processor integration</t>
  </si>
  <si>
    <t xml:space="preserve">Payslip PDFs transmitted as attachments rather than via secure portal link</t>
  </si>
  <si>
    <t xml:space="preserve">A.5.19, A.5.20, A.8.24 (supplier relationships, supplier agreements, cryptography)</t>
  </si>
  <si>
    <t xml:space="preserve">RR-20</t>
  </si>
  <si>
    <t xml:space="preserve">SQL injection in a legacy reporting module allows unauthorized data extraction</t>
  </si>
  <si>
    <t xml:space="preserve">Legacy reporting microservice</t>
  </si>
  <si>
    <t xml:space="preserve">Legacy module not yet migrated to the parameterized-query standard used elsewhere</t>
  </si>
  <si>
    <t xml:space="preserve">A.8.28, A.8.29, A.8.26 (secure coding, security testing, application security requirements)</t>
  </si>
  <si>
    <t xml:space="preserve">Legend</t>
  </si>
  <si>
    <t xml:space="preserve">Likelihood / Impact scale</t>
  </si>
  <si>
    <t xml:space="preserve">1=lowest, 5=highest — see Risk_Assessment_Methodology.md Section 3-4</t>
  </si>
  <si>
    <t xml:space="preserve">Likelihood x Impact (before treatment)</t>
  </si>
  <si>
    <t xml:space="preserve">Residual Likelihood x Residual Impact (after treatment/control in place)</t>
  </si>
  <si>
    <t xml:space="preserve">Rating bands</t>
  </si>
  <si>
    <t xml:space="preserve">Low 1-4 | Medium 5-8 | High 9-15 | Critical 16-25</t>
  </si>
  <si>
    <t xml:space="preserve">Treatment Options</t>
  </si>
  <si>
    <t xml:space="preserve">Mitigate / Transfer / Avoid / Accept</t>
  </si>
  <si>
    <t xml:space="preserve">Status values</t>
  </si>
  <si>
    <t xml:space="preserve">Treated = control implemented &amp; operating | In Progress = control being implemented | Accepted = formally risk-accepted</t>
  </si>
  <si>
    <t xml:space="preserve">Source</t>
  </si>
  <si>
    <t xml:space="preserve">Methodology per ISO/IEC 27005:2022 — see 02_Risk_Management/Risk_Assessment_Methodology.md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</si>
</sst>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0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42"/>
    <col collapsed="false" customWidth="true" hidden="false" outlineLevel="0" max="13" min="12" style="1" width="12"/>
    <col collapsed="false" customWidth="true" hidden="false" outlineLevel="0" max="14" min="14" style="1" width="10"/>
    <col collapsed="false" customWidth="true" hidden="false" outlineLevel="0" max="15" min="15" style="1" width="12"/>
    <col collapsed="false" customWidth="true" hidden="false" outlineLevel="0" max="16" min="16" style="1" width="20"/>
    <col collapsed="false" customWidth="true" hidden="false" outlineLevel="0" max="17" min="17" style="1" width="12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25" hidden="false" customHeight="tru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n">
        <v>4</v>
      </c>
      <c r="G2" s="3" t="n">
        <v>5</v>
      </c>
      <c r="H2" s="3" t="n">
        <f aca="false">F2*G2</f>
        <v>20</v>
      </c>
      <c r="I2" s="3" t="str">
        <f aca="false">IF(H2&gt;=16,"Critical",IF(H2&gt;=9,"High",IF(H2&gt;=5,"Medium","Low")))</f>
        <v>Critical</v>
      </c>
      <c r="J2" s="3" t="s">
        <v>22</v>
      </c>
      <c r="K2" s="3" t="s">
        <v>23</v>
      </c>
      <c r="L2" s="3" t="n">
        <v>2</v>
      </c>
      <c r="M2" s="3" t="n">
        <v>5</v>
      </c>
      <c r="N2" s="3" t="n">
        <f aca="false">L2*M2</f>
        <v>10</v>
      </c>
      <c r="O2" s="3" t="str">
        <f aca="false">IF(N2&gt;=16,"Critical",IF(N2&gt;=9,"High",IF(N2&gt;=5,"Medium","Low")))</f>
        <v>High</v>
      </c>
      <c r="P2" s="3" t="s">
        <v>24</v>
      </c>
      <c r="Q2" s="3" t="s">
        <v>25</v>
      </c>
    </row>
    <row r="3" customFormat="false" ht="23.25" hidden="false" customHeight="tru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n">
        <v>3</v>
      </c>
      <c r="G3" s="3" t="n">
        <v>5</v>
      </c>
      <c r="H3" s="3" t="n">
        <f aca="false">F3*G3</f>
        <v>15</v>
      </c>
      <c r="I3" s="3" t="str">
        <f aca="false">IF(H3&gt;=16,"Critical",IF(H3&gt;=9,"High",IF(H3&gt;=5,"Medium","Low")))</f>
        <v>High</v>
      </c>
      <c r="J3" s="3" t="s">
        <v>22</v>
      </c>
      <c r="K3" s="3" t="s">
        <v>31</v>
      </c>
      <c r="L3" s="3" t="n">
        <v>1</v>
      </c>
      <c r="M3" s="3" t="n">
        <v>5</v>
      </c>
      <c r="N3" s="3" t="n">
        <f aca="false">L3*M3</f>
        <v>5</v>
      </c>
      <c r="O3" s="3" t="str">
        <f aca="false">IF(N3&gt;=16,"Critical",IF(N3&gt;=9,"High",IF(N3&gt;=5,"Medium","Low")))</f>
        <v>Medium</v>
      </c>
      <c r="P3" s="3" t="s">
        <v>32</v>
      </c>
      <c r="Q3" s="3" t="s">
        <v>25</v>
      </c>
    </row>
    <row r="4" customFormat="false" ht="23.25" hidden="false" customHeight="tru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n">
        <v>3</v>
      </c>
      <c r="G4" s="3" t="n">
        <v>5</v>
      </c>
      <c r="H4" s="3" t="n">
        <f aca="false">F4*G4</f>
        <v>15</v>
      </c>
      <c r="I4" s="3" t="str">
        <f aca="false">IF(H4&gt;=16,"Critical",IF(H4&gt;=9,"High",IF(H4&gt;=5,"Medium","Low")))</f>
        <v>High</v>
      </c>
      <c r="J4" s="3" t="s">
        <v>22</v>
      </c>
      <c r="K4" s="3" t="s">
        <v>38</v>
      </c>
      <c r="L4" s="3" t="n">
        <v>2</v>
      </c>
      <c r="M4" s="3" t="n">
        <v>5</v>
      </c>
      <c r="N4" s="3" t="n">
        <f aca="false">L4*M4</f>
        <v>10</v>
      </c>
      <c r="O4" s="3" t="str">
        <f aca="false">IF(N4&gt;=16,"Critical",IF(N4&gt;=9,"High",IF(N4&gt;=5,"Medium","Low")))</f>
        <v>High</v>
      </c>
      <c r="P4" s="3" t="s">
        <v>39</v>
      </c>
      <c r="Q4" s="3" t="s">
        <v>25</v>
      </c>
    </row>
    <row r="5" customFormat="false" ht="23.25" hidden="false" customHeight="tru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n">
        <v>4</v>
      </c>
      <c r="G5" s="3" t="n">
        <v>5</v>
      </c>
      <c r="H5" s="3" t="n">
        <f aca="false">F5*G5</f>
        <v>20</v>
      </c>
      <c r="I5" s="3" t="str">
        <f aca="false">IF(H5&gt;=16,"Critical",IF(H5&gt;=9,"High",IF(H5&gt;=5,"Medium","Low")))</f>
        <v>Critical</v>
      </c>
      <c r="J5" s="3" t="s">
        <v>22</v>
      </c>
      <c r="K5" s="3" t="s">
        <v>45</v>
      </c>
      <c r="L5" s="3" t="n">
        <v>2</v>
      </c>
      <c r="M5" s="3" t="n">
        <v>4</v>
      </c>
      <c r="N5" s="3" t="n">
        <f aca="false">L5*M5</f>
        <v>8</v>
      </c>
      <c r="O5" s="3" t="str">
        <f aca="false">IF(N5&gt;=16,"Critical",IF(N5&gt;=9,"High",IF(N5&gt;=5,"Medium","Low")))</f>
        <v>Medium</v>
      </c>
      <c r="P5" s="3" t="s">
        <v>32</v>
      </c>
      <c r="Q5" s="3" t="s">
        <v>25</v>
      </c>
    </row>
    <row r="6" customFormat="false" ht="34.5" hidden="false" customHeight="true" outlineLevel="0" collapsed="false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n">
        <v>3</v>
      </c>
      <c r="G6" s="3" t="n">
        <v>5</v>
      </c>
      <c r="H6" s="3" t="n">
        <f aca="false">F6*G6</f>
        <v>15</v>
      </c>
      <c r="I6" s="3" t="str">
        <f aca="false">IF(H6&gt;=16,"Critical",IF(H6&gt;=9,"High",IF(H6&gt;=5,"Medium","Low")))</f>
        <v>High</v>
      </c>
      <c r="J6" s="3" t="s">
        <v>22</v>
      </c>
      <c r="K6" s="3" t="s">
        <v>51</v>
      </c>
      <c r="L6" s="3" t="n">
        <v>2</v>
      </c>
      <c r="M6" s="3" t="n">
        <v>5</v>
      </c>
      <c r="N6" s="3" t="n">
        <f aca="false">L6*M6</f>
        <v>10</v>
      </c>
      <c r="O6" s="3" t="str">
        <f aca="false">IF(N6&gt;=16,"Critical",IF(N6&gt;=9,"High",IF(N6&gt;=5,"Medium","Low")))</f>
        <v>High</v>
      </c>
      <c r="P6" s="3" t="s">
        <v>52</v>
      </c>
      <c r="Q6" s="3" t="s">
        <v>25</v>
      </c>
    </row>
    <row r="7" customFormat="false" ht="34.5" hidden="false" customHeight="true" outlineLevel="0" collapsed="false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n">
        <v>3</v>
      </c>
      <c r="G7" s="3" t="n">
        <v>5</v>
      </c>
      <c r="H7" s="3" t="n">
        <f aca="false">F7*G7</f>
        <v>15</v>
      </c>
      <c r="I7" s="3" t="str">
        <f aca="false">IF(H7&gt;=16,"Critical",IF(H7&gt;=9,"High",IF(H7&gt;=5,"Medium","Low")))</f>
        <v>High</v>
      </c>
      <c r="J7" s="3" t="s">
        <v>22</v>
      </c>
      <c r="K7" s="3" t="s">
        <v>58</v>
      </c>
      <c r="L7" s="3" t="n">
        <v>1</v>
      </c>
      <c r="M7" s="3" t="n">
        <v>5</v>
      </c>
      <c r="N7" s="3" t="n">
        <f aca="false">L7*M7</f>
        <v>5</v>
      </c>
      <c r="O7" s="3" t="str">
        <f aca="false">IF(N7&gt;=16,"Critical",IF(N7&gt;=9,"High",IF(N7&gt;=5,"Medium","Low")))</f>
        <v>Medium</v>
      </c>
      <c r="P7" s="3" t="s">
        <v>32</v>
      </c>
      <c r="Q7" s="3" t="s">
        <v>59</v>
      </c>
    </row>
    <row r="8" customFormat="false" ht="23.25" hidden="false" customHeight="true" outlineLevel="0" collapsed="false">
      <c r="A8" s="3" t="s">
        <v>60</v>
      </c>
      <c r="B8" s="3" t="s">
        <v>61</v>
      </c>
      <c r="C8" s="3" t="s">
        <v>62</v>
      </c>
      <c r="D8" s="3" t="s">
        <v>20</v>
      </c>
      <c r="E8" s="3" t="s">
        <v>63</v>
      </c>
      <c r="F8" s="3" t="n">
        <v>3</v>
      </c>
      <c r="G8" s="3" t="n">
        <v>4</v>
      </c>
      <c r="H8" s="3" t="n">
        <f aca="false">F8*G8</f>
        <v>12</v>
      </c>
      <c r="I8" s="3" t="str">
        <f aca="false">IF(H8&gt;=16,"Critical",IF(H8&gt;=9,"High",IF(H8&gt;=5,"Medium","Low")))</f>
        <v>High</v>
      </c>
      <c r="J8" s="3" t="s">
        <v>22</v>
      </c>
      <c r="K8" s="3" t="s">
        <v>64</v>
      </c>
      <c r="L8" s="3" t="n">
        <v>2</v>
      </c>
      <c r="M8" s="3" t="n">
        <v>4</v>
      </c>
      <c r="N8" s="3" t="n">
        <f aca="false">L8*M8</f>
        <v>8</v>
      </c>
      <c r="O8" s="3" t="str">
        <f aca="false">IF(N8&gt;=16,"Critical",IF(N8&gt;=9,"High",IF(N8&gt;=5,"Medium","Low")))</f>
        <v>Medium</v>
      </c>
      <c r="P8" s="3" t="s">
        <v>32</v>
      </c>
      <c r="Q8" s="3" t="s">
        <v>25</v>
      </c>
    </row>
    <row r="9" customFormat="false" ht="34.5" hidden="false" customHeight="true" outlineLevel="0" collapsed="false">
      <c r="A9" s="3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3" t="n">
        <v>3</v>
      </c>
      <c r="G9" s="3" t="n">
        <v>5</v>
      </c>
      <c r="H9" s="3" t="n">
        <f aca="false">F9*G9</f>
        <v>15</v>
      </c>
      <c r="I9" s="3" t="str">
        <f aca="false">IF(H9&gt;=16,"Critical",IF(H9&gt;=9,"High",IF(H9&gt;=5,"Medium","Low")))</f>
        <v>High</v>
      </c>
      <c r="J9" s="3" t="s">
        <v>22</v>
      </c>
      <c r="K9" s="3" t="s">
        <v>70</v>
      </c>
      <c r="L9" s="3" t="n">
        <v>2</v>
      </c>
      <c r="M9" s="3" t="n">
        <v>4</v>
      </c>
      <c r="N9" s="3" t="n">
        <f aca="false">L9*M9</f>
        <v>8</v>
      </c>
      <c r="O9" s="3" t="str">
        <f aca="false">IF(N9&gt;=16,"Critical",IF(N9&gt;=9,"High",IF(N9&gt;=5,"Medium","Low")))</f>
        <v>Medium</v>
      </c>
      <c r="P9" s="3" t="s">
        <v>32</v>
      </c>
      <c r="Q9" s="3" t="s">
        <v>59</v>
      </c>
    </row>
    <row r="10" customFormat="false" ht="34.5" hidden="false" customHeight="true" outlineLevel="0" collapsed="false">
      <c r="A10" s="3" t="s">
        <v>71</v>
      </c>
      <c r="B10" s="3" t="s">
        <v>72</v>
      </c>
      <c r="C10" s="3" t="s">
        <v>73</v>
      </c>
      <c r="D10" s="3" t="s">
        <v>74</v>
      </c>
      <c r="E10" s="3" t="s">
        <v>75</v>
      </c>
      <c r="F10" s="3" t="n">
        <v>3</v>
      </c>
      <c r="G10" s="3" t="n">
        <v>4</v>
      </c>
      <c r="H10" s="3" t="n">
        <f aca="false">F10*G10</f>
        <v>12</v>
      </c>
      <c r="I10" s="3" t="str">
        <f aca="false">IF(H10&gt;=16,"Critical",IF(H10&gt;=9,"High",IF(H10&gt;=5,"Medium","Low")))</f>
        <v>High</v>
      </c>
      <c r="J10" s="3" t="s">
        <v>22</v>
      </c>
      <c r="K10" s="3" t="s">
        <v>76</v>
      </c>
      <c r="L10" s="3" t="n">
        <v>1</v>
      </c>
      <c r="M10" s="3" t="n">
        <v>4</v>
      </c>
      <c r="N10" s="3" t="n">
        <f aca="false">L10*M10</f>
        <v>4</v>
      </c>
      <c r="O10" s="3" t="str">
        <f aca="false">IF(N10&gt;=16,"Critical",IF(N10&gt;=9,"High",IF(N10&gt;=5,"Medium","Low")))</f>
        <v>Low</v>
      </c>
      <c r="P10" s="3" t="s">
        <v>77</v>
      </c>
      <c r="Q10" s="3" t="s">
        <v>25</v>
      </c>
    </row>
    <row r="11" customFormat="false" ht="34.5" hidden="false" customHeight="true" outlineLevel="0" collapsed="false">
      <c r="A11" s="3" t="s">
        <v>78</v>
      </c>
      <c r="B11" s="3" t="s">
        <v>79</v>
      </c>
      <c r="C11" s="3" t="s">
        <v>80</v>
      </c>
      <c r="D11" s="3" t="s">
        <v>81</v>
      </c>
      <c r="E11" s="3" t="s">
        <v>82</v>
      </c>
      <c r="F11" s="3" t="n">
        <v>2</v>
      </c>
      <c r="G11" s="3" t="n">
        <v>4</v>
      </c>
      <c r="H11" s="3" t="n">
        <f aca="false">F11*G11</f>
        <v>8</v>
      </c>
      <c r="I11" s="3" t="str">
        <f aca="false">IF(H11&gt;=16,"Critical",IF(H11&gt;=9,"High",IF(H11&gt;=5,"Medium","Low")))</f>
        <v>Medium</v>
      </c>
      <c r="J11" s="3" t="s">
        <v>22</v>
      </c>
      <c r="K11" s="3" t="s">
        <v>83</v>
      </c>
      <c r="L11" s="3" t="n">
        <v>1</v>
      </c>
      <c r="M11" s="3" t="n">
        <v>3</v>
      </c>
      <c r="N11" s="3" t="n">
        <f aca="false">L11*M11</f>
        <v>3</v>
      </c>
      <c r="O11" s="3" t="str">
        <f aca="false">IF(N11&gt;=16,"Critical",IF(N11&gt;=9,"High",IF(N11&gt;=5,"Medium","Low")))</f>
        <v>Low</v>
      </c>
      <c r="P11" s="3" t="s">
        <v>32</v>
      </c>
      <c r="Q11" s="3" t="s">
        <v>25</v>
      </c>
    </row>
    <row r="12" customFormat="false" ht="34.5" hidden="false" customHeight="true" outlineLevel="0" collapsed="false">
      <c r="A12" s="3" t="s">
        <v>84</v>
      </c>
      <c r="B12" s="3" t="s">
        <v>85</v>
      </c>
      <c r="C12" s="3" t="s">
        <v>86</v>
      </c>
      <c r="D12" s="3" t="s">
        <v>87</v>
      </c>
      <c r="E12" s="3" t="s">
        <v>88</v>
      </c>
      <c r="F12" s="3" t="n">
        <v>2</v>
      </c>
      <c r="G12" s="3" t="n">
        <v>5</v>
      </c>
      <c r="H12" s="3" t="n">
        <f aca="false">F12*G12</f>
        <v>10</v>
      </c>
      <c r="I12" s="3" t="str">
        <f aca="false">IF(H12&gt;=16,"Critical",IF(H12&gt;=9,"High",IF(H12&gt;=5,"Medium","Low")))</f>
        <v>High</v>
      </c>
      <c r="J12" s="3" t="s">
        <v>22</v>
      </c>
      <c r="K12" s="3" t="s">
        <v>89</v>
      </c>
      <c r="L12" s="3" t="n">
        <v>1</v>
      </c>
      <c r="M12" s="3" t="n">
        <v>5</v>
      </c>
      <c r="N12" s="3" t="n">
        <f aca="false">L12*M12</f>
        <v>5</v>
      </c>
      <c r="O12" s="3" t="str">
        <f aca="false">IF(N12&gt;=16,"Critical",IF(N12&gt;=9,"High",IF(N12&gt;=5,"Medium","Low")))</f>
        <v>Medium</v>
      </c>
      <c r="P12" s="3" t="s">
        <v>32</v>
      </c>
      <c r="Q12" s="3" t="s">
        <v>25</v>
      </c>
    </row>
    <row r="13" customFormat="false" ht="34.5" hidden="false" customHeight="true" outlineLevel="0" collapsed="false">
      <c r="A13" s="3" t="s">
        <v>90</v>
      </c>
      <c r="B13" s="3" t="s">
        <v>91</v>
      </c>
      <c r="C13" s="3" t="s">
        <v>92</v>
      </c>
      <c r="D13" s="3" t="s">
        <v>93</v>
      </c>
      <c r="E13" s="3" t="s">
        <v>94</v>
      </c>
      <c r="F13" s="3" t="n">
        <v>3</v>
      </c>
      <c r="G13" s="3" t="n">
        <v>4</v>
      </c>
      <c r="H13" s="3" t="n">
        <f aca="false">F13*G13</f>
        <v>12</v>
      </c>
      <c r="I13" s="3" t="str">
        <f aca="false">IF(H13&gt;=16,"Critical",IF(H13&gt;=9,"High",IF(H13&gt;=5,"Medium","Low")))</f>
        <v>High</v>
      </c>
      <c r="J13" s="3" t="s">
        <v>22</v>
      </c>
      <c r="K13" s="3" t="s">
        <v>95</v>
      </c>
      <c r="L13" s="3" t="n">
        <v>2</v>
      </c>
      <c r="M13" s="3" t="n">
        <v>3</v>
      </c>
      <c r="N13" s="3" t="n">
        <f aca="false">L13*M13</f>
        <v>6</v>
      </c>
      <c r="O13" s="3" t="str">
        <f aca="false">IF(N13&gt;=16,"Critical",IF(N13&gt;=9,"High",IF(N13&gt;=5,"Medium","Low")))</f>
        <v>Medium</v>
      </c>
      <c r="P13" s="3" t="s">
        <v>39</v>
      </c>
      <c r="Q13" s="3" t="s">
        <v>59</v>
      </c>
    </row>
    <row r="14" customFormat="false" ht="23.25" hidden="false" customHeight="true" outlineLevel="0" collapsed="false">
      <c r="A14" s="3" t="s">
        <v>96</v>
      </c>
      <c r="B14" s="3" t="s">
        <v>97</v>
      </c>
      <c r="C14" s="3" t="s">
        <v>98</v>
      </c>
      <c r="D14" s="3" t="s">
        <v>99</v>
      </c>
      <c r="E14" s="3" t="s">
        <v>100</v>
      </c>
      <c r="F14" s="3" t="n">
        <v>2</v>
      </c>
      <c r="G14" s="3" t="n">
        <v>4</v>
      </c>
      <c r="H14" s="3" t="n">
        <f aca="false">F14*G14</f>
        <v>8</v>
      </c>
      <c r="I14" s="3" t="str">
        <f aca="false">IF(H14&gt;=16,"Critical",IF(H14&gt;=9,"High",IF(H14&gt;=5,"Medium","Low")))</f>
        <v>Medium</v>
      </c>
      <c r="J14" s="3" t="s">
        <v>22</v>
      </c>
      <c r="K14" s="3" t="s">
        <v>101</v>
      </c>
      <c r="L14" s="3" t="n">
        <v>1</v>
      </c>
      <c r="M14" s="3" t="n">
        <v>3</v>
      </c>
      <c r="N14" s="3" t="n">
        <f aca="false">L14*M14</f>
        <v>3</v>
      </c>
      <c r="O14" s="3" t="str">
        <f aca="false">IF(N14&gt;=16,"Critical",IF(N14&gt;=9,"High",IF(N14&gt;=5,"Medium","Low")))</f>
        <v>Low</v>
      </c>
      <c r="P14" s="3" t="s">
        <v>52</v>
      </c>
      <c r="Q14" s="3" t="s">
        <v>25</v>
      </c>
    </row>
    <row r="15" customFormat="false" ht="34.5" hidden="false" customHeight="true" outlineLevel="0" collapsed="false">
      <c r="A15" s="3" t="s">
        <v>102</v>
      </c>
      <c r="B15" s="3" t="s">
        <v>103</v>
      </c>
      <c r="C15" s="3" t="s">
        <v>104</v>
      </c>
      <c r="D15" s="3" t="s">
        <v>68</v>
      </c>
      <c r="E15" s="3" t="s">
        <v>105</v>
      </c>
      <c r="F15" s="3" t="n">
        <v>3</v>
      </c>
      <c r="G15" s="3" t="n">
        <v>4</v>
      </c>
      <c r="H15" s="3" t="n">
        <f aca="false">F15*G15</f>
        <v>12</v>
      </c>
      <c r="I15" s="3" t="str">
        <f aca="false">IF(H15&gt;=16,"Critical",IF(H15&gt;=9,"High",IF(H15&gt;=5,"Medium","Low")))</f>
        <v>High</v>
      </c>
      <c r="J15" s="3" t="s">
        <v>22</v>
      </c>
      <c r="K15" s="3" t="s">
        <v>106</v>
      </c>
      <c r="L15" s="3" t="n">
        <v>2</v>
      </c>
      <c r="M15" s="3" t="n">
        <v>3</v>
      </c>
      <c r="N15" s="3" t="n">
        <f aca="false">L15*M15</f>
        <v>6</v>
      </c>
      <c r="O15" s="3" t="str">
        <f aca="false">IF(N15&gt;=16,"Critical",IF(N15&gt;=9,"High",IF(N15&gt;=5,"Medium","Low")))</f>
        <v>Medium</v>
      </c>
      <c r="P15" s="3" t="s">
        <v>32</v>
      </c>
      <c r="Q15" s="3" t="s">
        <v>59</v>
      </c>
    </row>
    <row r="16" customFormat="false" ht="34.5" hidden="false" customHeight="true" outlineLevel="0" collapsed="false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n">
        <v>3</v>
      </c>
      <c r="G16" s="3" t="n">
        <v>5</v>
      </c>
      <c r="H16" s="3" t="n">
        <f aca="false">F16*G16</f>
        <v>15</v>
      </c>
      <c r="I16" s="3" t="str">
        <f aca="false">IF(H16&gt;=16,"Critical",IF(H16&gt;=9,"High",IF(H16&gt;=5,"Medium","Low")))</f>
        <v>High</v>
      </c>
      <c r="J16" s="3" t="s">
        <v>22</v>
      </c>
      <c r="K16" s="3" t="s">
        <v>112</v>
      </c>
      <c r="L16" s="3" t="n">
        <v>2</v>
      </c>
      <c r="M16" s="3" t="n">
        <v>4</v>
      </c>
      <c r="N16" s="3" t="n">
        <f aca="false">L16*M16</f>
        <v>8</v>
      </c>
      <c r="O16" s="3" t="str">
        <f aca="false">IF(N16&gt;=16,"Critical",IF(N16&gt;=9,"High",IF(N16&gt;=5,"Medium","Low")))</f>
        <v>Medium</v>
      </c>
      <c r="P16" s="3" t="s">
        <v>52</v>
      </c>
      <c r="Q16" s="3" t="s">
        <v>25</v>
      </c>
    </row>
    <row r="17" customFormat="false" ht="34.5" hidden="false" customHeight="true" outlineLevel="0" collapsed="false">
      <c r="A17" s="3" t="s">
        <v>113</v>
      </c>
      <c r="B17" s="3" t="s">
        <v>114</v>
      </c>
      <c r="C17" s="3" t="s">
        <v>115</v>
      </c>
      <c r="D17" s="3" t="s">
        <v>116</v>
      </c>
      <c r="E17" s="3" t="s">
        <v>117</v>
      </c>
      <c r="F17" s="3" t="n">
        <v>3</v>
      </c>
      <c r="G17" s="3" t="n">
        <v>4</v>
      </c>
      <c r="H17" s="3" t="n">
        <f aca="false">F17*G17</f>
        <v>12</v>
      </c>
      <c r="I17" s="3" t="str">
        <f aca="false">IF(H17&gt;=16,"Critical",IF(H17&gt;=9,"High",IF(H17&gt;=5,"Medium","Low")))</f>
        <v>High</v>
      </c>
      <c r="J17" s="3" t="s">
        <v>22</v>
      </c>
      <c r="K17" s="3" t="s">
        <v>118</v>
      </c>
      <c r="L17" s="3" t="n">
        <v>2</v>
      </c>
      <c r="M17" s="3" t="n">
        <v>3</v>
      </c>
      <c r="N17" s="3" t="n">
        <f aca="false">L17*M17</f>
        <v>6</v>
      </c>
      <c r="O17" s="3" t="str">
        <f aca="false">IF(N17&gt;=16,"Critical",IF(N17&gt;=9,"High",IF(N17&gt;=5,"Medium","Low")))</f>
        <v>Medium</v>
      </c>
      <c r="P17" s="3" t="s">
        <v>32</v>
      </c>
      <c r="Q17" s="3" t="s">
        <v>59</v>
      </c>
    </row>
    <row r="18" customFormat="false" ht="34.5" hidden="false" customHeight="true" outlineLevel="0" collapsed="false">
      <c r="A18" s="3" t="s">
        <v>119</v>
      </c>
      <c r="B18" s="3" t="s">
        <v>120</v>
      </c>
      <c r="C18" s="3" t="s">
        <v>35</v>
      </c>
      <c r="D18" s="3" t="s">
        <v>121</v>
      </c>
      <c r="E18" s="3" t="s">
        <v>122</v>
      </c>
      <c r="F18" s="3" t="n">
        <v>2</v>
      </c>
      <c r="G18" s="3" t="n">
        <v>5</v>
      </c>
      <c r="H18" s="3" t="n">
        <f aca="false">F18*G18</f>
        <v>10</v>
      </c>
      <c r="I18" s="3" t="str">
        <f aca="false">IF(H18&gt;=16,"Critical",IF(H18&gt;=9,"High",IF(H18&gt;=5,"Medium","Low")))</f>
        <v>High</v>
      </c>
      <c r="J18" s="3" t="s">
        <v>22</v>
      </c>
      <c r="K18" s="3" t="s">
        <v>123</v>
      </c>
      <c r="L18" s="3" t="n">
        <v>1</v>
      </c>
      <c r="M18" s="3" t="n">
        <v>4</v>
      </c>
      <c r="N18" s="3" t="n">
        <f aca="false">L18*M18</f>
        <v>4</v>
      </c>
      <c r="O18" s="3" t="str">
        <f aca="false">IF(N18&gt;=16,"Critical",IF(N18&gt;=9,"High",IF(N18&gt;=5,"Medium","Low")))</f>
        <v>Low</v>
      </c>
      <c r="P18" s="3" t="s">
        <v>32</v>
      </c>
      <c r="Q18" s="3" t="s">
        <v>25</v>
      </c>
    </row>
    <row r="19" customFormat="false" ht="23.25" hidden="false" customHeight="true" outlineLevel="0" collapsed="false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n">
        <v>2</v>
      </c>
      <c r="G19" s="3" t="n">
        <v>4</v>
      </c>
      <c r="H19" s="3" t="n">
        <f aca="false">F19*G19</f>
        <v>8</v>
      </c>
      <c r="I19" s="3" t="str">
        <f aca="false">IF(H19&gt;=16,"Critical",IF(H19&gt;=9,"High",IF(H19&gt;=5,"Medium","Low")))</f>
        <v>Medium</v>
      </c>
      <c r="J19" s="3" t="s">
        <v>22</v>
      </c>
      <c r="K19" s="3" t="s">
        <v>129</v>
      </c>
      <c r="L19" s="3" t="n">
        <v>1</v>
      </c>
      <c r="M19" s="3" t="n">
        <v>3</v>
      </c>
      <c r="N19" s="3" t="n">
        <f aca="false">L19*M19</f>
        <v>3</v>
      </c>
      <c r="O19" s="3" t="str">
        <f aca="false">IF(N19&gt;=16,"Critical",IF(N19&gt;=9,"High",IF(N19&gt;=5,"Medium","Low")))</f>
        <v>Low</v>
      </c>
      <c r="P19" s="3" t="s">
        <v>24</v>
      </c>
      <c r="Q19" s="3" t="s">
        <v>25</v>
      </c>
    </row>
    <row r="20" customFormat="false" ht="34.5" hidden="false" customHeight="true" outlineLevel="0" collapsed="false">
      <c r="A20" s="3" t="s">
        <v>130</v>
      </c>
      <c r="B20" s="3" t="s">
        <v>131</v>
      </c>
      <c r="C20" s="3" t="s">
        <v>132</v>
      </c>
      <c r="D20" s="3" t="s">
        <v>49</v>
      </c>
      <c r="E20" s="3" t="s">
        <v>133</v>
      </c>
      <c r="F20" s="3" t="n">
        <v>3</v>
      </c>
      <c r="G20" s="3" t="n">
        <v>4</v>
      </c>
      <c r="H20" s="3" t="n">
        <f aca="false">F20*G20</f>
        <v>12</v>
      </c>
      <c r="I20" s="3" t="str">
        <f aca="false">IF(H20&gt;=16,"Critical",IF(H20&gt;=9,"High",IF(H20&gt;=5,"Medium","Low")))</f>
        <v>High</v>
      </c>
      <c r="J20" s="3" t="s">
        <v>22</v>
      </c>
      <c r="K20" s="3" t="s">
        <v>134</v>
      </c>
      <c r="L20" s="3" t="n">
        <v>2</v>
      </c>
      <c r="M20" s="3" t="n">
        <v>3</v>
      </c>
      <c r="N20" s="3" t="n">
        <f aca="false">L20*M20</f>
        <v>6</v>
      </c>
      <c r="O20" s="3" t="str">
        <f aca="false">IF(N20&gt;=16,"Critical",IF(N20&gt;=9,"High",IF(N20&gt;=5,"Medium","Low")))</f>
        <v>Medium</v>
      </c>
      <c r="P20" s="3" t="s">
        <v>52</v>
      </c>
      <c r="Q20" s="3" t="s">
        <v>59</v>
      </c>
    </row>
    <row r="21" customFormat="false" ht="23.25" hidden="false" customHeight="true" outlineLevel="0" collapsed="false">
      <c r="A21" s="3" t="s">
        <v>135</v>
      </c>
      <c r="B21" s="3" t="s">
        <v>136</v>
      </c>
      <c r="C21" s="3" t="s">
        <v>137</v>
      </c>
      <c r="D21" s="3" t="s">
        <v>20</v>
      </c>
      <c r="E21" s="3" t="s">
        <v>138</v>
      </c>
      <c r="F21" s="3" t="n">
        <v>2</v>
      </c>
      <c r="G21" s="3" t="n">
        <v>5</v>
      </c>
      <c r="H21" s="3" t="n">
        <f aca="false">F21*G21</f>
        <v>10</v>
      </c>
      <c r="I21" s="3" t="str">
        <f aca="false">IF(H21&gt;=16,"Critical",IF(H21&gt;=9,"High",IF(H21&gt;=5,"Medium","Low")))</f>
        <v>High</v>
      </c>
      <c r="J21" s="3" t="s">
        <v>22</v>
      </c>
      <c r="K21" s="3" t="s">
        <v>139</v>
      </c>
      <c r="L21" s="3" t="n">
        <v>1</v>
      </c>
      <c r="M21" s="3" t="n">
        <v>4</v>
      </c>
      <c r="N21" s="3" t="n">
        <f aca="false">L21*M21</f>
        <v>4</v>
      </c>
      <c r="O21" s="3" t="str">
        <f aca="false">IF(N21&gt;=16,"Critical",IF(N21&gt;=9,"High",IF(N21&gt;=5,"Medium","Low")))</f>
        <v>Low</v>
      </c>
      <c r="P21" s="3" t="s">
        <v>32</v>
      </c>
      <c r="Q21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0"/>
  </cols>
  <sheetData>
    <row r="1" customFormat="false" ht="15" hidden="false" customHeight="true" outlineLevel="0" collapsed="false">
      <c r="A1" s="4" t="s">
        <v>140</v>
      </c>
    </row>
    <row r="3" customFormat="false" ht="15" hidden="false" customHeight="true" outlineLevel="0" collapsed="false">
      <c r="A3" s="5" t="s">
        <v>141</v>
      </c>
      <c r="B3" s="6" t="s">
        <v>142</v>
      </c>
    </row>
    <row r="4" customFormat="false" ht="15" hidden="false" customHeight="true" outlineLevel="0" collapsed="false">
      <c r="A4" s="5" t="s">
        <v>7</v>
      </c>
      <c r="B4" s="6" t="s">
        <v>143</v>
      </c>
    </row>
    <row r="5" customFormat="false" ht="15" hidden="false" customHeight="true" outlineLevel="0" collapsed="false">
      <c r="A5" s="5" t="s">
        <v>13</v>
      </c>
      <c r="B5" s="6" t="s">
        <v>144</v>
      </c>
    </row>
    <row r="6" customFormat="false" ht="15" hidden="false" customHeight="true" outlineLevel="0" collapsed="false">
      <c r="A6" s="5" t="s">
        <v>145</v>
      </c>
      <c r="B6" s="6" t="s">
        <v>146</v>
      </c>
    </row>
    <row r="7" customFormat="false" ht="15" hidden="false" customHeight="true" outlineLevel="0" collapsed="false">
      <c r="A7" s="5" t="s">
        <v>147</v>
      </c>
      <c r="B7" s="6" t="s">
        <v>148</v>
      </c>
    </row>
    <row r="8" customFormat="false" ht="23.25" hidden="false" customHeight="true" outlineLevel="0" collapsed="false">
      <c r="A8" s="5" t="s">
        <v>149</v>
      </c>
      <c r="B8" s="6" t="s">
        <v>150</v>
      </c>
    </row>
    <row r="9" customFormat="false" ht="15" hidden="false" customHeight="true" outlineLevel="0" collapsed="false">
      <c r="A9" s="5" t="s">
        <v>151</v>
      </c>
      <c r="B9" s="6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2026-08-22T08:59:41Z</dcterms:created>
  <dc:creator>openpyxl</dc:creator>
  <dc:description/>
  <dc:language>en-US</dc:language>
  <cp:lastModifiedBy/>
  <dcterms:modified xsi:type="dcterms:W3CDTF">2026-08-22T09:00:00Z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