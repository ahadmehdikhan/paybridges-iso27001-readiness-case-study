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tement of Applicability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<sst xmlns="http://schemas.openxmlformats.org/spreadsheetml/2006/main" count="766" uniqueCount="421">
  <si>
    <t xml:space="preserve">Control ID</t>
  </si>
  <si>
    <t xml:space="preserve">Control Name</t>
  </si>
  <si>
    <t xml:space="preserve">Theme (Annex A)</t>
  </si>
  <si>
    <t xml:space="preserve">Applicable (Y/N/NA)</t>
  </si>
  <si>
    <t xml:space="preserve">Justification for Inclusion / Exclusion</t>
  </si>
  <si>
    <t xml:space="preserve">Implementation Status</t>
  </si>
  <si>
    <t xml:space="preserve">SOC 2 TSC Cross-Mapping</t>
  </si>
  <si>
    <t xml:space="preserve">Evidence Reference</t>
  </si>
  <si>
    <t xml:space="preserve">A.5.1</t>
  </si>
  <si>
    <t xml:space="preserve">Policies for information security</t>
  </si>
  <si>
    <t xml:space="preserve">Organizational</t>
  </si>
  <si>
    <t xml:space="preserve">Yes</t>
  </si>
  <si>
    <t xml:space="preserve">Foundational governance requirement</t>
  </si>
  <si>
    <t xml:space="preserve">Implemented</t>
  </si>
  <si>
    <t xml:space="preserve">CC1.1, CC1.2</t>
  </si>
  <si>
    <t xml:space="preserve">Information_Security_Policy.md</t>
  </si>
  <si>
    <t xml:space="preserve">A.5.2</t>
  </si>
  <si>
    <t xml:space="preserve">Information security roles and responsibilities</t>
  </si>
  <si>
    <t xml:space="preserve">Required to establish accountability (CISO, Steering Committee)</t>
  </si>
  <si>
    <t xml:space="preserve">CC1.3</t>
  </si>
  <si>
    <t xml:space="preserve">Information_Security_Policy.md Sec 4</t>
  </si>
  <si>
    <t xml:space="preserve">A.5.3</t>
  </si>
  <si>
    <t xml:space="preserve">Segregation of duties</t>
  </si>
  <si>
    <t xml:space="preserve">Prevents single-actor fraud/error in payroll and privileged access</t>
  </si>
  <si>
    <t xml:space="preserve">CC5.1, CC6.1</t>
  </si>
  <si>
    <t xml:space="preserve">Access_Control_Policy.md; Risk RR-03, RR-17</t>
  </si>
  <si>
    <t xml:space="preserve">A.5.4</t>
  </si>
  <si>
    <t xml:space="preserve">Management responsibilities</t>
  </si>
  <si>
    <t xml:space="preserve">Leadership must reinforce security expectations</t>
  </si>
  <si>
    <t xml:space="preserve">CC1.1</t>
  </si>
  <si>
    <t xml:space="preserve">A.5.5</t>
  </si>
  <si>
    <t xml:space="preserve">Contact with authorities</t>
  </si>
  <si>
    <t xml:space="preserve">Required for breach notification obligations (GDPR, state law)</t>
  </si>
  <si>
    <t xml:space="preserve">CC7.3, CC7.4</t>
  </si>
  <si>
    <t xml:space="preserve">Incident Response runbook (referenced)</t>
  </si>
  <si>
    <t xml:space="preserve">A.5.6</t>
  </si>
  <si>
    <t xml:space="preserve">Contact with special interest groups</t>
  </si>
  <si>
    <t xml:space="preserve">Threat intelligence sharing via industry ISACs</t>
  </si>
  <si>
    <t xml:space="preserve">CC3.2</t>
  </si>
  <si>
    <t xml:space="preserve">Threat intel subscription record</t>
  </si>
  <si>
    <t xml:space="preserve">A.5.7</t>
  </si>
  <si>
    <t xml:space="preserve">Threat intelligence</t>
  </si>
  <si>
    <t xml:space="preserve">Informs risk register updates for external attacker scenarios</t>
  </si>
  <si>
    <t xml:space="preserve">Risk_Assessment_Methodology.md Sec 7</t>
  </si>
  <si>
    <t xml:space="preserve">A.5.8</t>
  </si>
  <si>
    <t xml:space="preserve">Information security in project management</t>
  </si>
  <si>
    <t xml:space="preserve">Security requirements built into SDLC/project intake</t>
  </si>
  <si>
    <t xml:space="preserve">CC8.1</t>
  </si>
  <si>
    <t xml:space="preserve">Change_Management_Policy.md</t>
  </si>
  <si>
    <t xml:space="preserve">A.5.9</t>
  </si>
  <si>
    <t xml:space="preserve">Inventory of information and other associated assets</t>
  </si>
  <si>
    <t xml:space="preserve">Required for AWS/GitHub asset ownership</t>
  </si>
  <si>
    <t xml:space="preserve">CC6.1</t>
  </si>
  <si>
    <t xml:space="preserve">Asset_Management_Policy.md</t>
  </si>
  <si>
    <t xml:space="preserve">A.5.10</t>
  </si>
  <si>
    <t xml:space="preserve">Acceptable use of information and other associated assets</t>
  </si>
  <si>
    <t xml:space="preserve">Governs endpoint/BYOD restrictions</t>
  </si>
  <si>
    <t xml:space="preserve">Asset_Management_Policy.md Sec 5</t>
  </si>
  <si>
    <t xml:space="preserve">A.5.11</t>
  </si>
  <si>
    <t xml:space="preserve">Return of assets</t>
  </si>
  <si>
    <t xml:space="preserve">Offboarding equipment return process</t>
  </si>
  <si>
    <t xml:space="preserve">CC6.2</t>
  </si>
  <si>
    <t xml:space="preserve">offboarding-jira-evidence.pdf</t>
  </si>
  <si>
    <t xml:space="preserve">A.5.12</t>
  </si>
  <si>
    <t xml:space="preserve">Classification of information</t>
  </si>
  <si>
    <t xml:space="preserve">Required given Restricted PII/banking data</t>
  </si>
  <si>
    <t xml:space="preserve">CC6.1, C1.1</t>
  </si>
  <si>
    <t xml:space="preserve">Information_Classification_Policy.md</t>
  </si>
  <si>
    <t xml:space="preserve">A.5.13</t>
  </si>
  <si>
    <t xml:space="preserve">Labelling of information</t>
  </si>
  <si>
    <t xml:space="preserve">Supports automated DLP/Macie tagging</t>
  </si>
  <si>
    <t xml:space="preserve">C1.1</t>
  </si>
  <si>
    <t xml:space="preserve">Information_Classification_Policy.md Sec 3</t>
  </si>
  <si>
    <t xml:space="preserve">A.5.14</t>
  </si>
  <si>
    <t xml:space="preserve">Information transfer</t>
  </si>
  <si>
    <t xml:space="preserve">Governs encrypted transfer of banking files</t>
  </si>
  <si>
    <t xml:space="preserve">CC6.7</t>
  </si>
  <si>
    <t xml:space="preserve">Information_Classification_Policy.md Sec 5</t>
  </si>
  <si>
    <t xml:space="preserve">A.5.15</t>
  </si>
  <si>
    <t xml:space="preserve">Access control</t>
  </si>
  <si>
    <t xml:space="preserve">Core RBAC requirement</t>
  </si>
  <si>
    <t xml:space="preserve">CC6.1, CC6.3</t>
  </si>
  <si>
    <t xml:space="preserve">Access_Control_Policy.md</t>
  </si>
  <si>
    <t xml:space="preserve">A.5.16</t>
  </si>
  <si>
    <t xml:space="preserve">Identity management</t>
  </si>
  <si>
    <t xml:space="preserve">Okta as single identity source of truth</t>
  </si>
  <si>
    <t xml:space="preserve">Access_Control_Policy.md Sec 3</t>
  </si>
  <si>
    <t xml:space="preserve">A.5.17</t>
  </si>
  <si>
    <t xml:space="preserve">Authentication information</t>
  </si>
  <si>
    <t xml:space="preserve">MFA/password standards</t>
  </si>
  <si>
    <t xml:space="preserve">Access_Control_Policy.md Sec 4</t>
  </si>
  <si>
    <t xml:space="preserve">A.5.18</t>
  </si>
  <si>
    <t xml:space="preserve">Access rights</t>
  </si>
  <si>
    <t xml:space="preserve">Quarterly/monthly access review cadence</t>
  </si>
  <si>
    <t xml:space="preserve">CC6.2, CC6.3</t>
  </si>
  <si>
    <t xml:space="preserve">Access_Control_Policy.md Sec 7; ToE-03</t>
  </si>
  <si>
    <t xml:space="preserve">A.5.19</t>
  </si>
  <si>
    <t xml:space="preserve">Information security in supplier relationships</t>
  </si>
  <si>
    <t xml:space="preserve">Banking rail and sub-processor risk (RR-05, RR-19)</t>
  </si>
  <si>
    <t xml:space="preserve">CC9.2</t>
  </si>
  <si>
    <t xml:space="preserve">Vendor due diligence records</t>
  </si>
  <si>
    <t xml:space="preserve">A.5.20</t>
  </si>
  <si>
    <t xml:space="preserve">Addressing information security within supplier agreements</t>
  </si>
  <si>
    <t xml:space="preserve">DPAs with sub-processors</t>
  </si>
  <si>
    <t xml:space="preserve">Legal-maintained DPA register</t>
  </si>
  <si>
    <t xml:space="preserve">A.5.21</t>
  </si>
  <si>
    <t xml:space="preserve">Managing information security in the ICT supply chain</t>
  </si>
  <si>
    <t xml:space="preserve">GitHub Actions / dependency supply chain (RR-08, RR-14)</t>
  </si>
  <si>
    <t xml:space="preserve">In Progress</t>
  </si>
  <si>
    <t xml:space="preserve">SCA tool rollout tracking</t>
  </si>
  <si>
    <t xml:space="preserve">A.5.22</t>
  </si>
  <si>
    <t xml:space="preserve">Monitoring, review and change management of supplier services</t>
  </si>
  <si>
    <t xml:space="preserve">Ongoing sub-processor monitoring</t>
  </si>
  <si>
    <t xml:space="preserve">Vendor review log</t>
  </si>
  <si>
    <t xml:space="preserve">A.5.23</t>
  </si>
  <si>
    <t xml:space="preserve">Information security for use of cloud services</t>
  </si>
  <si>
    <t xml:space="preserve">100% AWS-hosted; core to ISMS boundary</t>
  </si>
  <si>
    <t xml:space="preserve">CC6.1, CC6.6</t>
  </si>
  <si>
    <t xml:space="preserve">AWS_Shared_Responsibility_Matrix.md</t>
  </si>
  <si>
    <t xml:space="preserve">A.5.24</t>
  </si>
  <si>
    <t xml:space="preserve">Information security incident management planning and preparation</t>
  </si>
  <si>
    <t xml:space="preserve">Incident response runbook required</t>
  </si>
  <si>
    <t xml:space="preserve">CC7.3</t>
  </si>
  <si>
    <t xml:space="preserve">IR runbook (referenced)</t>
  </si>
  <si>
    <t xml:space="preserve">A.5.25</t>
  </si>
  <si>
    <t xml:space="preserve">Assessment and decision on information security events</t>
  </si>
  <si>
    <t xml:space="preserve">Triage process for SIEM alerts</t>
  </si>
  <si>
    <t xml:space="preserve">SIEM triage log</t>
  </si>
  <si>
    <t xml:space="preserve">A.5.26</t>
  </si>
  <si>
    <t xml:space="preserve">Response to information security incidents</t>
  </si>
  <si>
    <t xml:space="preserve">Formal IR process</t>
  </si>
  <si>
    <t xml:space="preserve">CC7.4</t>
  </si>
  <si>
    <t xml:space="preserve">A.5.27</t>
  </si>
  <si>
    <t xml:space="preserve">Learning from information security incidents</t>
  </si>
  <si>
    <t xml:space="preserve">Post-mortem process feeds risk register</t>
  </si>
  <si>
    <t xml:space="preserve">CC7.5</t>
  </si>
  <si>
    <t xml:space="preserve">Post-mortem records</t>
  </si>
  <si>
    <t xml:space="preserve">A.5.28</t>
  </si>
  <si>
    <t xml:space="preserve">Collection of evidence</t>
  </si>
  <si>
    <t xml:space="preserve">Forensic evidence handling for incidents</t>
  </si>
  <si>
    <t xml:space="preserve">A.5.29</t>
  </si>
  <si>
    <t xml:space="preserve">Information security during disruption</t>
  </si>
  <si>
    <t xml:space="preserve">Pay-run continuity is business-critical (RR-16)</t>
  </si>
  <si>
    <t xml:space="preserve">A1.2</t>
  </si>
  <si>
    <t xml:space="preserve">BCP documentation</t>
  </si>
  <si>
    <t xml:space="preserve">A.5.30</t>
  </si>
  <si>
    <t xml:space="preserve">ICT readiness for business continuity</t>
  </si>
  <si>
    <t xml:space="preserve">DR failover testing (RR-16)</t>
  </si>
  <si>
    <t xml:space="preserve">A1.2, A1.3</t>
  </si>
  <si>
    <t xml:space="preserve">DR test report (pending first live test)</t>
  </si>
  <si>
    <t xml:space="preserve">A.5.31</t>
  </si>
  <si>
    <t xml:space="preserve">Legal, statutory, regulatory and contractual requirements</t>
  </si>
  <si>
    <t xml:space="preserve">GDPR/UK DPA/state law tracking</t>
  </si>
  <si>
    <t xml:space="preserve">CC1.1, P1.1</t>
  </si>
  <si>
    <t xml:space="preserve">Legal compliance register</t>
  </si>
  <si>
    <t xml:space="preserve">A.5.32</t>
  </si>
  <si>
    <t xml:space="preserve">Intellectual property rights</t>
  </si>
  <si>
    <t xml:space="preserve">Source code and licensing compliance</t>
  </si>
  <si>
    <t xml:space="preserve">IP/licensing policy (referenced)</t>
  </si>
  <si>
    <t xml:space="preserve">A.5.33</t>
  </si>
  <si>
    <t xml:space="preserve">Protection of records</t>
  </si>
  <si>
    <t xml:space="preserve">Payroll/tax record retention obligations</t>
  </si>
  <si>
    <t xml:space="preserve">C1.2</t>
  </si>
  <si>
    <t xml:space="preserve">Information_Classification_Policy.md Sec 4</t>
  </si>
  <si>
    <t xml:space="preserve">A.5.34</t>
  </si>
  <si>
    <t xml:space="preserve">Privacy and protection of PII</t>
  </si>
  <si>
    <t xml:space="preserve">Core to payroll/HR data processing</t>
  </si>
  <si>
    <t xml:space="preserve">P1.1, P2.1</t>
  </si>
  <si>
    <t xml:space="preserve">Information_Classification_Policy.md; DPA register</t>
  </si>
  <si>
    <t xml:space="preserve">A.5.35</t>
  </si>
  <si>
    <t xml:space="preserve">Independent review of information security</t>
  </si>
  <si>
    <t xml:space="preserve">This engagement constitutes the independent review</t>
  </si>
  <si>
    <t xml:space="preserve">CC4.1</t>
  </si>
  <si>
    <t xml:space="preserve">This case study's audit workpapers</t>
  </si>
  <si>
    <t xml:space="preserve">A.5.36</t>
  </si>
  <si>
    <t xml:space="preserve">Compliance with policies, rules and standards for information security</t>
  </si>
  <si>
    <t xml:space="preserve">Internal policy compliance monitoring</t>
  </si>
  <si>
    <t xml:space="preserve">CC4.2</t>
  </si>
  <si>
    <t xml:space="preserve">Policy attestation records</t>
  </si>
  <si>
    <t xml:space="preserve">A.5.37</t>
  </si>
  <si>
    <t xml:space="preserve">Documented operating procedures</t>
  </si>
  <si>
    <t xml:space="preserve">Runbooks for key management, backups, deployments</t>
  </si>
  <si>
    <t xml:space="preserve">KMS key management SOP (referenced)</t>
  </si>
  <si>
    <t xml:space="preserve">A.6.1</t>
  </si>
  <si>
    <t xml:space="preserve">Screening</t>
  </si>
  <si>
    <t xml:space="preserve">People</t>
  </si>
  <si>
    <t xml:space="preserve">Background checks for roles with Restricted data access</t>
  </si>
  <si>
    <t xml:space="preserve">CC1.4</t>
  </si>
  <si>
    <t xml:space="preserve">HR pre-employment screening record</t>
  </si>
  <si>
    <t xml:space="preserve">A.6.2</t>
  </si>
  <si>
    <t xml:space="preserve">Terms and conditions of employment</t>
  </si>
  <si>
    <t xml:space="preserve">Confidentiality obligations in employment contracts</t>
  </si>
  <si>
    <t xml:space="preserve">Employment contract template (referenced)</t>
  </si>
  <si>
    <t xml:space="preserve">A.6.3</t>
  </si>
  <si>
    <t xml:space="preserve">Information security awareness, education and training</t>
  </si>
  <si>
    <t xml:space="preserve">Annual training; targeted anti-phishing/BEC training (RR-15)</t>
  </si>
  <si>
    <t xml:space="preserve">LMS completion records</t>
  </si>
  <si>
    <t xml:space="preserve">A.6.4</t>
  </si>
  <si>
    <t xml:space="preserve">Disciplinary process</t>
  </si>
  <si>
    <t xml:space="preserve">Enforcement mechanism for policy violations</t>
  </si>
  <si>
    <t xml:space="preserve">CC1.5</t>
  </si>
  <si>
    <t xml:space="preserve">HR disciplinary policy (referenced)</t>
  </si>
  <si>
    <t xml:space="preserve">A.6.5</t>
  </si>
  <si>
    <t xml:space="preserve">Responsibilities after termination or change of employment</t>
  </si>
  <si>
    <t xml:space="preserve">Access revocation timing (RR-09)</t>
  </si>
  <si>
    <t xml:space="preserve">offboarding-jira-evidence.pdf; ToD-09, ToE-09</t>
  </si>
  <si>
    <t xml:space="preserve">A.6.6</t>
  </si>
  <si>
    <t xml:space="preserve">Confidentiality or non-disclosure agreements</t>
  </si>
  <si>
    <t xml:space="preserve">NDAs for employees, contractors, vendors</t>
  </si>
  <si>
    <t xml:space="preserve">NDA template/signature log (referenced)</t>
  </si>
  <si>
    <t xml:space="preserve">A.6.7</t>
  </si>
  <si>
    <t xml:space="preserve">Remote working</t>
  </si>
  <si>
    <t xml:space="preserve">Remote-first organization; endpoint controls apply universally</t>
  </si>
  <si>
    <t xml:space="preserve">CC6.6</t>
  </si>
  <si>
    <t xml:space="preserve">Asset_Management_Policy.md Sec 8</t>
  </si>
  <si>
    <t xml:space="preserve">A.6.8</t>
  </si>
  <si>
    <t xml:space="preserve">Information security event reporting</t>
  </si>
  <si>
    <t xml:space="preserve">Employee-driven reporting channel feeds A.5.25</t>
  </si>
  <si>
    <t xml:space="preserve">Reporting channel/Slack workflow (referenced)</t>
  </si>
  <si>
    <t xml:space="preserve">A.7.1</t>
  </si>
  <si>
    <t xml:space="preserve">Physical security perimeters</t>
  </si>
  <si>
    <t xml:space="preserve">Physical</t>
  </si>
  <si>
    <t xml:space="preserve">Applies to single leased Islamabad office</t>
  </si>
  <si>
    <t xml:space="preserve">CC6.4</t>
  </si>
  <si>
    <t xml:space="preserve">Office access control system (referenced)</t>
  </si>
  <si>
    <t xml:space="preserve">A.7.2</t>
  </si>
  <si>
    <t xml:space="preserve">Physical entry</t>
  </si>
  <si>
    <t xml:space="preserve">Badge access to office</t>
  </si>
  <si>
    <t xml:space="preserve">Badge access log (referenced)</t>
  </si>
  <si>
    <t xml:space="preserve">A.7.3</t>
  </si>
  <si>
    <t xml:space="preserve">Securing offices, rooms and facilities</t>
  </si>
  <si>
    <t xml:space="preserve">Office does not host production infrastructure</t>
  </si>
  <si>
    <t xml:space="preserve">Facilities policy (referenced)</t>
  </si>
  <si>
    <t xml:space="preserve">A.7.4</t>
  </si>
  <si>
    <t xml:space="preserve">Physical security monitoring</t>
  </si>
  <si>
    <t xml:space="preserve">CCTV at office entry points</t>
  </si>
  <si>
    <t xml:space="preserve">A.7.5</t>
  </si>
  <si>
    <t xml:space="preserve">Protecting against physical and environmental threats</t>
  </si>
  <si>
    <t xml:space="preserve">Not Applicable</t>
  </si>
  <si>
    <t xml:space="preserve">No company-owned data center; AWS manages facility environmental controls</t>
  </si>
  <si>
    <t xml:space="preserve">N/A - AWS Responsibility</t>
  </si>
  <si>
    <t xml:space="preserve">N/A</t>
  </si>
  <si>
    <t xml:space="preserve">A.7.6</t>
  </si>
  <si>
    <t xml:space="preserve">Working in secure areas</t>
  </si>
  <si>
    <t xml:space="preserve">No restricted physical zones beyond standard office</t>
  </si>
  <si>
    <t xml:space="preserve">A.7.7</t>
  </si>
  <si>
    <t xml:space="preserve">Clear desk and clear screen</t>
  </si>
  <si>
    <t xml:space="preserve">Remote-first; enforced via endpoint screen-lock policy</t>
  </si>
  <si>
    <t xml:space="preserve">MDM screen-lock configuration</t>
  </si>
  <si>
    <t xml:space="preserve">A.7.8</t>
  </si>
  <si>
    <t xml:space="preserve">Equipment siting and protection</t>
  </si>
  <si>
    <t xml:space="preserve">No on-premises server equipment; 100% AWS-hosted</t>
  </si>
  <si>
    <t xml:space="preserve">A.7.9</t>
  </si>
  <si>
    <t xml:space="preserve">Security of assets off-premises</t>
  </si>
  <si>
    <t xml:space="preserve">Remote workforce endpoint protection (RR-18)</t>
  </si>
  <si>
    <t xml:space="preserve">CC6.4, CC6.6</t>
  </si>
  <si>
    <t xml:space="preserve">A.7.10</t>
  </si>
  <si>
    <t xml:space="preserve">Storage media</t>
  </si>
  <si>
    <t xml:space="preserve">Removable media disabled by default on endpoints</t>
  </si>
  <si>
    <t xml:space="preserve">MDM policy configuration</t>
  </si>
  <si>
    <t xml:space="preserve">A.7.11</t>
  </si>
  <si>
    <t xml:space="preserve">Supporting utilities</t>
  </si>
  <si>
    <t xml:space="preserve">AWS data center power/cooling; not PayBridges-managed</t>
  </si>
  <si>
    <t xml:space="preserve">A.7.12</t>
  </si>
  <si>
    <t xml:space="preserve">Cabling security</t>
  </si>
  <si>
    <t xml:space="preserve">No company-owned data center cabling</t>
  </si>
  <si>
    <t xml:space="preserve">A.7.13</t>
  </si>
  <si>
    <t xml:space="preserve">Equipment maintenance</t>
  </si>
  <si>
    <t xml:space="preserve">Company laptop maintenance/patch program</t>
  </si>
  <si>
    <t xml:space="preserve">CC6.8</t>
  </si>
  <si>
    <t xml:space="preserve">MDM patch compliance report</t>
  </si>
  <si>
    <t xml:space="preserve">A.7.14</t>
  </si>
  <si>
    <t xml:space="preserve">Secure disposal or re-use of equipment</t>
  </si>
  <si>
    <t xml:space="preserve">Certified e-waste vendor + KMS cryptographic erasure</t>
  </si>
  <si>
    <t xml:space="preserve">CC6.5</t>
  </si>
  <si>
    <t xml:space="preserve">Asset_Management_Policy.md Sec 7; destruction certificates</t>
  </si>
  <si>
    <t xml:space="preserve">A.8.1</t>
  </si>
  <si>
    <t xml:space="preserve">User endpoint devices</t>
  </si>
  <si>
    <t xml:space="preserve">Technological</t>
  </si>
  <si>
    <t xml:space="preserve">MDM-enrolled company laptops only</t>
  </si>
  <si>
    <t xml:space="preserve">MDM enrollment report</t>
  </si>
  <si>
    <t xml:space="preserve">A.8.2</t>
  </si>
  <si>
    <t xml:space="preserve">Privileged access rights</t>
  </si>
  <si>
    <t xml:space="preserve">JIT elevation for AWS production access (RR-01, RR-17)</t>
  </si>
  <si>
    <t xml:space="preserve">Access_Control_Policy.md Sec 6; ToD-10, ToE-10</t>
  </si>
  <si>
    <t xml:space="preserve">A.8.3</t>
  </si>
  <si>
    <t xml:space="preserve">Information access restriction</t>
  </si>
  <si>
    <t xml:space="preserve">RBAC restricts production data access</t>
  </si>
  <si>
    <t xml:space="preserve">Access_Control_Policy.md Sec 5</t>
  </si>
  <si>
    <t xml:space="preserve">A.8.4</t>
  </si>
  <si>
    <t xml:space="preserve">Access to source code</t>
  </si>
  <si>
    <t xml:space="preserve">GitHub org access controls, branch protection</t>
  </si>
  <si>
    <t xml:space="preserve">CC6.1, CC8.1</t>
  </si>
  <si>
    <t xml:space="preserve">GitHub org permission export</t>
  </si>
  <si>
    <t xml:space="preserve">A.8.5</t>
  </si>
  <si>
    <t xml:space="preserve">Secure authentication</t>
  </si>
  <si>
    <t xml:space="preserve">Phishing-resistant MFA</t>
  </si>
  <si>
    <t xml:space="preserve">Okta MFA enforcement report; ToD-01</t>
  </si>
  <si>
    <t xml:space="preserve">A.8.6</t>
  </si>
  <si>
    <t xml:space="preserve">Capacity management</t>
  </si>
  <si>
    <t xml:space="preserve">Auto-scaling for pay-run load; DDoS resilience (RR-10)</t>
  </si>
  <si>
    <t xml:space="preserve">A1.1</t>
  </si>
  <si>
    <t xml:space="preserve">AWS Auto Scaling configuration</t>
  </si>
  <si>
    <t xml:space="preserve">A.8.7</t>
  </si>
  <si>
    <t xml:space="preserve">Protection against malware</t>
  </si>
  <si>
    <t xml:space="preserve">EDR agent on endpoints; container image scanning</t>
  </si>
  <si>
    <t xml:space="preserve">EDR deployment report</t>
  </si>
  <si>
    <t xml:space="preserve">A.8.8</t>
  </si>
  <si>
    <t xml:space="preserve">Management of technical vulnerabilities</t>
  </si>
  <si>
    <t xml:space="preserve">Base image/dependency patching (RR-07, RR-14)</t>
  </si>
  <si>
    <t xml:space="preserve">CC7.1</t>
  </si>
  <si>
    <t xml:space="preserve">Vulnerability scan reports; ToE-05</t>
  </si>
  <si>
    <t xml:space="preserve">A.8.9</t>
  </si>
  <si>
    <t xml:space="preserve">Configuration management</t>
  </si>
  <si>
    <t xml:space="preserve">Terraform IaC, S3 public-access-block enforcement (RR-02)</t>
  </si>
  <si>
    <t xml:space="preserve">CC7.1, CC8.1</t>
  </si>
  <si>
    <t xml:space="preserve">AWS Config rules; Change_Management_Policy.md</t>
  </si>
  <si>
    <t xml:space="preserve">A.8.10</t>
  </si>
  <si>
    <t xml:space="preserve">Information deletion</t>
  </si>
  <si>
    <t xml:space="preserve">Contract-termination data deletion procedure</t>
  </si>
  <si>
    <t xml:space="preserve">Data deletion SOP (referenced)</t>
  </si>
  <si>
    <t xml:space="preserve">A.8.11</t>
  </si>
  <si>
    <t xml:space="preserve">Data masking</t>
  </si>
  <si>
    <t xml:space="preserve">Anonymization for non-production environments</t>
  </si>
  <si>
    <t xml:space="preserve">Change_Management_Policy.md Sec 5</t>
  </si>
  <si>
    <t xml:space="preserve">A.8.12</t>
  </si>
  <si>
    <t xml:space="preserve">Data leakage prevention</t>
  </si>
  <si>
    <t xml:space="preserve">S3 Macie tagging, egress monitoring</t>
  </si>
  <si>
    <t xml:space="preserve">AWS Macie configuration; Risk RR-02</t>
  </si>
  <si>
    <t xml:space="preserve">A.8.13</t>
  </si>
  <si>
    <t xml:space="preserve">Information backup</t>
  </si>
  <si>
    <t xml:space="preserve">RDS snapshot backups, isolated from production trust boundary (RR-04)</t>
  </si>
  <si>
    <t xml:space="preserve">Backup policy/schedule; ToE-06</t>
  </si>
  <si>
    <t xml:space="preserve">A.8.14</t>
  </si>
  <si>
    <t xml:space="preserve">Redundancy of information processing facilities</t>
  </si>
  <si>
    <t xml:space="preserve">Multi-AZ RDS/ECS deployment</t>
  </si>
  <si>
    <t xml:space="preserve">AWS architecture diagram (referenced)</t>
  </si>
  <si>
    <t xml:space="preserve">A.8.15</t>
  </si>
  <si>
    <t xml:space="preserve">Logging</t>
  </si>
  <si>
    <t xml:space="preserve">CloudTrail, application logs (RR-12)</t>
  </si>
  <si>
    <t xml:space="preserve">CC7.2</t>
  </si>
  <si>
    <t xml:space="preserve">CloudTrail configuration; ToE-07</t>
  </si>
  <si>
    <t xml:space="preserve">A.8.16</t>
  </si>
  <si>
    <t xml:space="preserve">Monitoring activities</t>
  </si>
  <si>
    <t xml:space="preserve">Centralized SIEM alerting</t>
  </si>
  <si>
    <t xml:space="preserve">SIEM configuration; Risk RR-12</t>
  </si>
  <si>
    <t xml:space="preserve">A.8.17</t>
  </si>
  <si>
    <t xml:space="preserve">Clock synchronization</t>
  </si>
  <si>
    <t xml:space="preserve">NTP sync across AWS infrastructure for reliable log correlation</t>
  </si>
  <si>
    <t xml:space="preserve">AWS default NTP configuration</t>
  </si>
  <si>
    <t xml:space="preserve">A.8.18</t>
  </si>
  <si>
    <t xml:space="preserve">Use of privileged utility programs</t>
  </si>
  <si>
    <t xml:space="preserve">Restricted use of AWS CLI/admin tooling to approved roles</t>
  </si>
  <si>
    <t xml:space="preserve">Access_Control_Policy.md Sec 6</t>
  </si>
  <si>
    <t xml:space="preserve">A.8.19</t>
  </si>
  <si>
    <t xml:space="preserve">Installation of software on operational systems</t>
  </si>
  <si>
    <t xml:space="preserve">Immutable ECS task definitions via CI/CD only</t>
  </si>
  <si>
    <t xml:space="preserve">Change_Management_Policy.md Sec 6</t>
  </si>
  <si>
    <t xml:space="preserve">A.8.20</t>
  </si>
  <si>
    <t xml:space="preserve">Networks security</t>
  </si>
  <si>
    <t xml:space="preserve">VPC segmentation, security groups</t>
  </si>
  <si>
    <t xml:space="preserve">VPC/security group configuration (referenced)</t>
  </si>
  <si>
    <t xml:space="preserve">A.8.21</t>
  </si>
  <si>
    <t xml:space="preserve">Security of network services</t>
  </si>
  <si>
    <t xml:space="preserve">TLS enforcement on all customer-facing services</t>
  </si>
  <si>
    <t xml:space="preserve">TLS configuration scan (referenced)</t>
  </si>
  <si>
    <t xml:space="preserve">A.8.22</t>
  </si>
  <si>
    <t xml:space="preserve">Segregation of networks</t>
  </si>
  <si>
    <t xml:space="preserve">Separate VPCs per environment (dev/staging/prod)</t>
  </si>
  <si>
    <t xml:space="preserve">A.8.23</t>
  </si>
  <si>
    <t xml:space="preserve">Web filtering</t>
  </si>
  <si>
    <t xml:space="preserve">Corporate endpoint web filtering via MDM/DNS security</t>
  </si>
  <si>
    <t xml:space="preserve">MDM/DNS filtering configuration</t>
  </si>
  <si>
    <t xml:space="preserve">A.8.24</t>
  </si>
  <si>
    <t xml:space="preserve">Use of cryptography</t>
  </si>
  <si>
    <t xml:space="preserve">AWS KMS encryption at rest/in transit (RR-11)</t>
  </si>
  <si>
    <t xml:space="preserve">CC6.1, CC6.7</t>
  </si>
  <si>
    <t xml:space="preserve">KMS key inventory; ToD-04</t>
  </si>
  <si>
    <t xml:space="preserve">A.8.25</t>
  </si>
  <si>
    <t xml:space="preserve">Secure development life cycle</t>
  </si>
  <si>
    <t xml:space="preserve">SDLC security gates in CI/CD</t>
  </si>
  <si>
    <t xml:space="preserve">A.8.26</t>
  </si>
  <si>
    <t xml:space="preserve">Application security requirements</t>
  </si>
  <si>
    <t xml:space="preserve">Tenant-isolation authorization requirements (RR-06)</t>
  </si>
  <si>
    <t xml:space="preserve">Security requirements checklist; Risk RR-06</t>
  </si>
  <si>
    <t xml:space="preserve">A.8.27</t>
  </si>
  <si>
    <t xml:space="preserve">Secure system architecture and engineering principles</t>
  </si>
  <si>
    <t xml:space="preserve">Multi-tenant architecture review</t>
  </si>
  <si>
    <t xml:space="preserve">Architecture review records (referenced)</t>
  </si>
  <si>
    <t xml:space="preserve">A.8.28</t>
  </si>
  <si>
    <t xml:space="preserve">Secure coding</t>
  </si>
  <si>
    <t xml:space="preserve">SAST scanning, parameterized queries (RR-20)</t>
  </si>
  <si>
    <t xml:space="preserve">SAST scan reports; Risk RR-20</t>
  </si>
  <si>
    <t xml:space="preserve">A.8.29</t>
  </si>
  <si>
    <t xml:space="preserve">Security testing in development and acceptance</t>
  </si>
  <si>
    <t xml:space="preserve">SAST/SCA gates in CI/CD pipeline</t>
  </si>
  <si>
    <t xml:space="preserve">CI/CD pipeline configuration; ToE-08</t>
  </si>
  <si>
    <t xml:space="preserve">A.8.30</t>
  </si>
  <si>
    <t xml:space="preserve">Outsourced development</t>
  </si>
  <si>
    <t xml:space="preserve">Contractor code contributions subject to same PR/review gates</t>
  </si>
  <si>
    <t xml:space="preserve">A.8.31</t>
  </si>
  <si>
    <t xml:space="preserve">Separation of development, test and production environments</t>
  </si>
  <si>
    <t xml:space="preserve">Distinct AWS accounts per environment</t>
  </si>
  <si>
    <t xml:space="preserve">A.8.32</t>
  </si>
  <si>
    <t xml:space="preserve">Change management</t>
  </si>
  <si>
    <t xml:space="preserve">PR review, branch protection, CI/CD gates</t>
  </si>
  <si>
    <t xml:space="preserve">github-pr-approval-logs.json; ToD-02, ToE-02</t>
  </si>
  <si>
    <t xml:space="preserve">A.8.33</t>
  </si>
  <si>
    <t xml:space="preserve">Test information</t>
  </si>
  <si>
    <t xml:space="preserve">Anonymized/synthetic data required in non-production</t>
  </si>
  <si>
    <t xml:space="preserve">A.8.34</t>
  </si>
  <si>
    <t xml:space="preserve">Protection of information systems during audit testing</t>
  </si>
  <si>
    <t xml:space="preserve">Read-only credentials scoped for this engagement's testing</t>
  </si>
  <si>
    <t xml:space="preserve">Engagement access-grant record (this audit)</t>
  </si>
  <si>
    <t xml:space="preserve">PayBridges Statement of Applicability - Summary</t>
  </si>
  <si>
    <t xml:space="preserve">Total Annex A Controls</t>
  </si>
  <si>
    <t xml:space="preserve">Applicable Controls</t>
  </si>
  <si>
    <t xml:space="preserve">Not Applicable Controls</t>
  </si>
  <si>
    <t xml:space="preserve">Implementation Status Breakdown</t>
  </si>
  <si>
    <t xml:space="preserve">Not Applicable (N/A)</t>
  </si>
  <si>
    <t xml:space="preserve">By Theme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</si>
</sst>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E0E7FF"/>
        <bgColor rgb="FFD1FAE5"/>
      </patternFill>
    </fill>
    <fill>
      <patternFill patternType="solid">
        <fgColor rgb="FFD1FAE5"/>
        <bgColor rgb="FFCCFFFF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0E7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2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24"/>
    <col collapsed="false" customWidth="true" hidden="false" outlineLevel="0" max="7" min="7" style="0" width="20"/>
    <col collapsed="false" customWidth="true" hidden="false" outlineLevel="0" max="8" min="8" style="0" width="34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customFormat="false" ht="23.85" hidden="false" customHeight="false" outlineLevel="0" collapsed="false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13</v>
      </c>
      <c r="G3" s="2" t="s">
        <v>19</v>
      </c>
      <c r="H3" s="2" t="s">
        <v>20</v>
      </c>
    </row>
    <row r="4" customFormat="false" ht="23.85" hidden="false" customHeight="false" outlineLevel="0" collapsed="false">
      <c r="A4" s="2" t="s">
        <v>21</v>
      </c>
      <c r="B4" s="2" t="s">
        <v>22</v>
      </c>
      <c r="C4" s="2" t="s">
        <v>10</v>
      </c>
      <c r="D4" s="2" t="s">
        <v>11</v>
      </c>
      <c r="E4" s="2" t="s">
        <v>23</v>
      </c>
      <c r="F4" s="2" t="s">
        <v>13</v>
      </c>
      <c r="G4" s="2" t="s">
        <v>24</v>
      </c>
      <c r="H4" s="2" t="s">
        <v>25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10</v>
      </c>
      <c r="D5" s="2" t="s">
        <v>11</v>
      </c>
      <c r="E5" s="2" t="s">
        <v>28</v>
      </c>
      <c r="F5" s="2" t="s">
        <v>13</v>
      </c>
      <c r="G5" s="2" t="s">
        <v>29</v>
      </c>
      <c r="H5" s="2" t="s">
        <v>15</v>
      </c>
    </row>
    <row r="6" customFormat="false" ht="23.85" hidden="false" customHeight="false" outlineLevel="0" collapsed="false">
      <c r="A6" s="2" t="s">
        <v>30</v>
      </c>
      <c r="B6" s="2" t="s">
        <v>31</v>
      </c>
      <c r="C6" s="2" t="s">
        <v>10</v>
      </c>
      <c r="D6" s="2" t="s">
        <v>11</v>
      </c>
      <c r="E6" s="2" t="s">
        <v>32</v>
      </c>
      <c r="F6" s="2" t="s">
        <v>13</v>
      </c>
      <c r="G6" s="2" t="s">
        <v>33</v>
      </c>
      <c r="H6" s="2" t="s">
        <v>34</v>
      </c>
    </row>
    <row r="7" customFormat="false" ht="15" hidden="false" customHeight="false" outlineLevel="0" collapsed="false">
      <c r="A7" s="2" t="s">
        <v>35</v>
      </c>
      <c r="B7" s="2" t="s">
        <v>36</v>
      </c>
      <c r="C7" s="2" t="s">
        <v>10</v>
      </c>
      <c r="D7" s="2" t="s">
        <v>11</v>
      </c>
      <c r="E7" s="2" t="s">
        <v>37</v>
      </c>
      <c r="F7" s="2" t="s">
        <v>13</v>
      </c>
      <c r="G7" s="2" t="s">
        <v>38</v>
      </c>
      <c r="H7" s="2" t="s">
        <v>39</v>
      </c>
    </row>
    <row r="8" customFormat="false" ht="23.85" hidden="false" customHeight="false" outlineLevel="0" collapsed="false">
      <c r="A8" s="2" t="s">
        <v>40</v>
      </c>
      <c r="B8" s="2" t="s">
        <v>41</v>
      </c>
      <c r="C8" s="2" t="s">
        <v>10</v>
      </c>
      <c r="D8" s="2" t="s">
        <v>11</v>
      </c>
      <c r="E8" s="2" t="s">
        <v>42</v>
      </c>
      <c r="F8" s="2" t="s">
        <v>13</v>
      </c>
      <c r="G8" s="2" t="s">
        <v>38</v>
      </c>
      <c r="H8" s="2" t="s">
        <v>43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10</v>
      </c>
      <c r="D9" s="2" t="s">
        <v>11</v>
      </c>
      <c r="E9" s="2" t="s">
        <v>46</v>
      </c>
      <c r="F9" s="2" t="s">
        <v>13</v>
      </c>
      <c r="G9" s="2" t="s">
        <v>47</v>
      </c>
      <c r="H9" s="2" t="s">
        <v>48</v>
      </c>
    </row>
    <row r="10" customFormat="false" ht="23.85" hidden="false" customHeight="false" outlineLevel="0" collapsed="false">
      <c r="A10" s="2" t="s">
        <v>49</v>
      </c>
      <c r="B10" s="2" t="s">
        <v>50</v>
      </c>
      <c r="C10" s="2" t="s">
        <v>10</v>
      </c>
      <c r="D10" s="2" t="s">
        <v>11</v>
      </c>
      <c r="E10" s="2" t="s">
        <v>51</v>
      </c>
      <c r="F10" s="2" t="s">
        <v>13</v>
      </c>
      <c r="G10" s="2" t="s">
        <v>52</v>
      </c>
      <c r="H10" s="2" t="s">
        <v>53</v>
      </c>
    </row>
    <row r="11" customFormat="false" ht="23.85" hidden="false" customHeight="false" outlineLevel="0" collapsed="false">
      <c r="A11" s="2" t="s">
        <v>54</v>
      </c>
      <c r="B11" s="2" t="s">
        <v>55</v>
      </c>
      <c r="C11" s="2" t="s">
        <v>10</v>
      </c>
      <c r="D11" s="2" t="s">
        <v>11</v>
      </c>
      <c r="E11" s="2" t="s">
        <v>56</v>
      </c>
      <c r="F11" s="2" t="s">
        <v>13</v>
      </c>
      <c r="G11" s="2" t="s">
        <v>52</v>
      </c>
      <c r="H11" s="2" t="s">
        <v>57</v>
      </c>
    </row>
    <row r="12" customFormat="false" ht="15" hidden="false" customHeight="false" outlineLevel="0" collapsed="false">
      <c r="A12" s="2" t="s">
        <v>58</v>
      </c>
      <c r="B12" s="2" t="s">
        <v>59</v>
      </c>
      <c r="C12" s="2" t="s">
        <v>10</v>
      </c>
      <c r="D12" s="2" t="s">
        <v>11</v>
      </c>
      <c r="E12" s="2" t="s">
        <v>60</v>
      </c>
      <c r="F12" s="2" t="s">
        <v>13</v>
      </c>
      <c r="G12" s="2" t="s">
        <v>61</v>
      </c>
      <c r="H12" s="2" t="s">
        <v>62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10</v>
      </c>
      <c r="D13" s="2" t="s">
        <v>11</v>
      </c>
      <c r="E13" s="2" t="s">
        <v>65</v>
      </c>
      <c r="F13" s="2" t="s">
        <v>13</v>
      </c>
      <c r="G13" s="2" t="s">
        <v>66</v>
      </c>
      <c r="H13" s="2" t="s">
        <v>67</v>
      </c>
    </row>
    <row r="14" customFormat="false" ht="23.85" hidden="false" customHeight="false" outlineLevel="0" collapsed="false">
      <c r="A14" s="2" t="s">
        <v>68</v>
      </c>
      <c r="B14" s="2" t="s">
        <v>69</v>
      </c>
      <c r="C14" s="2" t="s">
        <v>10</v>
      </c>
      <c r="D14" s="2" t="s">
        <v>11</v>
      </c>
      <c r="E14" s="2" t="s">
        <v>70</v>
      </c>
      <c r="F14" s="2" t="s">
        <v>13</v>
      </c>
      <c r="G14" s="2" t="s">
        <v>71</v>
      </c>
      <c r="H14" s="2" t="s">
        <v>72</v>
      </c>
    </row>
    <row r="15" customFormat="false" ht="23.85" hidden="false" customHeight="false" outlineLevel="0" collapsed="false">
      <c r="A15" s="2" t="s">
        <v>73</v>
      </c>
      <c r="B15" s="2" t="s">
        <v>74</v>
      </c>
      <c r="C15" s="2" t="s">
        <v>10</v>
      </c>
      <c r="D15" s="2" t="s">
        <v>11</v>
      </c>
      <c r="E15" s="2" t="s">
        <v>75</v>
      </c>
      <c r="F15" s="2" t="s">
        <v>13</v>
      </c>
      <c r="G15" s="2" t="s">
        <v>76</v>
      </c>
      <c r="H15" s="2" t="s">
        <v>77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10</v>
      </c>
      <c r="D16" s="2" t="s">
        <v>11</v>
      </c>
      <c r="E16" s="2" t="s">
        <v>80</v>
      </c>
      <c r="F16" s="2" t="s">
        <v>13</v>
      </c>
      <c r="G16" s="2" t="s">
        <v>81</v>
      </c>
      <c r="H16" s="2" t="s">
        <v>82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10</v>
      </c>
      <c r="D17" s="2" t="s">
        <v>11</v>
      </c>
      <c r="E17" s="2" t="s">
        <v>85</v>
      </c>
      <c r="F17" s="2" t="s">
        <v>13</v>
      </c>
      <c r="G17" s="2" t="s">
        <v>52</v>
      </c>
      <c r="H17" s="2" t="s">
        <v>86</v>
      </c>
    </row>
    <row r="18" customFormat="false" ht="15" hidden="false" customHeight="false" outlineLevel="0" collapsed="false">
      <c r="A18" s="2" t="s">
        <v>87</v>
      </c>
      <c r="B18" s="2" t="s">
        <v>88</v>
      </c>
      <c r="C18" s="2" t="s">
        <v>10</v>
      </c>
      <c r="D18" s="2" t="s">
        <v>11</v>
      </c>
      <c r="E18" s="2" t="s">
        <v>89</v>
      </c>
      <c r="F18" s="2" t="s">
        <v>13</v>
      </c>
      <c r="G18" s="2" t="s">
        <v>52</v>
      </c>
      <c r="H18" s="2" t="s">
        <v>90</v>
      </c>
    </row>
    <row r="19" customFormat="false" ht="23.85" hidden="false" customHeight="false" outlineLevel="0" collapsed="false">
      <c r="A19" s="2" t="s">
        <v>91</v>
      </c>
      <c r="B19" s="2" t="s">
        <v>92</v>
      </c>
      <c r="C19" s="2" t="s">
        <v>10</v>
      </c>
      <c r="D19" s="2" t="s">
        <v>11</v>
      </c>
      <c r="E19" s="2" t="s">
        <v>93</v>
      </c>
      <c r="F19" s="2" t="s">
        <v>13</v>
      </c>
      <c r="G19" s="2" t="s">
        <v>94</v>
      </c>
      <c r="H19" s="2" t="s">
        <v>95</v>
      </c>
    </row>
    <row r="20" customFormat="false" ht="15" hidden="false" customHeight="false" outlineLevel="0" collapsed="false">
      <c r="A20" s="2" t="s">
        <v>96</v>
      </c>
      <c r="B20" s="2" t="s">
        <v>97</v>
      </c>
      <c r="C20" s="2" t="s">
        <v>10</v>
      </c>
      <c r="D20" s="2" t="s">
        <v>11</v>
      </c>
      <c r="E20" s="2" t="s">
        <v>98</v>
      </c>
      <c r="F20" s="2" t="s">
        <v>13</v>
      </c>
      <c r="G20" s="2" t="s">
        <v>99</v>
      </c>
      <c r="H20" s="2" t="s">
        <v>100</v>
      </c>
    </row>
    <row r="21" customFormat="false" ht="23.85" hidden="false" customHeight="false" outlineLevel="0" collapsed="false">
      <c r="A21" s="2" t="s">
        <v>101</v>
      </c>
      <c r="B21" s="2" t="s">
        <v>102</v>
      </c>
      <c r="C21" s="2" t="s">
        <v>10</v>
      </c>
      <c r="D21" s="2" t="s">
        <v>11</v>
      </c>
      <c r="E21" s="2" t="s">
        <v>103</v>
      </c>
      <c r="F21" s="2" t="s">
        <v>13</v>
      </c>
      <c r="G21" s="2" t="s">
        <v>99</v>
      </c>
      <c r="H21" s="2" t="s">
        <v>104</v>
      </c>
    </row>
    <row r="22" customFormat="false" ht="23.85" hidden="false" customHeight="false" outlineLevel="0" collapsed="false">
      <c r="A22" s="2" t="s">
        <v>105</v>
      </c>
      <c r="B22" s="2" t="s">
        <v>106</v>
      </c>
      <c r="C22" s="2" t="s">
        <v>10</v>
      </c>
      <c r="D22" s="2" t="s">
        <v>11</v>
      </c>
      <c r="E22" s="2" t="s">
        <v>107</v>
      </c>
      <c r="F22" s="2" t="s">
        <v>108</v>
      </c>
      <c r="G22" s="2" t="s">
        <v>99</v>
      </c>
      <c r="H22" s="2" t="s">
        <v>109</v>
      </c>
    </row>
    <row r="23" customFormat="false" ht="23.85" hidden="false" customHeight="false" outlineLevel="0" collapsed="false">
      <c r="A23" s="2" t="s">
        <v>110</v>
      </c>
      <c r="B23" s="2" t="s">
        <v>111</v>
      </c>
      <c r="C23" s="2" t="s">
        <v>10</v>
      </c>
      <c r="D23" s="2" t="s">
        <v>11</v>
      </c>
      <c r="E23" s="2" t="s">
        <v>112</v>
      </c>
      <c r="F23" s="2" t="s">
        <v>13</v>
      </c>
      <c r="G23" s="2" t="s">
        <v>99</v>
      </c>
      <c r="H23" s="2" t="s">
        <v>113</v>
      </c>
    </row>
    <row r="24" customFormat="false" ht="15" hidden="false" customHeight="false" outlineLevel="0" collapsed="false">
      <c r="A24" s="2" t="s">
        <v>114</v>
      </c>
      <c r="B24" s="2" t="s">
        <v>115</v>
      </c>
      <c r="C24" s="2" t="s">
        <v>10</v>
      </c>
      <c r="D24" s="2" t="s">
        <v>11</v>
      </c>
      <c r="E24" s="2" t="s">
        <v>116</v>
      </c>
      <c r="F24" s="2" t="s">
        <v>13</v>
      </c>
      <c r="G24" s="2" t="s">
        <v>117</v>
      </c>
      <c r="H24" s="2" t="s">
        <v>118</v>
      </c>
    </row>
    <row r="25" customFormat="false" ht="23.85" hidden="false" customHeight="false" outlineLevel="0" collapsed="false">
      <c r="A25" s="2" t="s">
        <v>119</v>
      </c>
      <c r="B25" s="2" t="s">
        <v>120</v>
      </c>
      <c r="C25" s="2" t="s">
        <v>10</v>
      </c>
      <c r="D25" s="2" t="s">
        <v>11</v>
      </c>
      <c r="E25" s="2" t="s">
        <v>121</v>
      </c>
      <c r="F25" s="2" t="s">
        <v>13</v>
      </c>
      <c r="G25" s="2" t="s">
        <v>122</v>
      </c>
      <c r="H25" s="2" t="s">
        <v>123</v>
      </c>
    </row>
    <row r="26" customFormat="false" ht="23.85" hidden="false" customHeight="false" outlineLevel="0" collapsed="false">
      <c r="A26" s="2" t="s">
        <v>124</v>
      </c>
      <c r="B26" s="2" t="s">
        <v>125</v>
      </c>
      <c r="C26" s="2" t="s">
        <v>10</v>
      </c>
      <c r="D26" s="2" t="s">
        <v>11</v>
      </c>
      <c r="E26" s="2" t="s">
        <v>126</v>
      </c>
      <c r="F26" s="2" t="s">
        <v>13</v>
      </c>
      <c r="G26" s="2" t="s">
        <v>122</v>
      </c>
      <c r="H26" s="2" t="s">
        <v>127</v>
      </c>
    </row>
    <row r="27" customFormat="false" ht="15" hidden="false" customHeight="false" outlineLevel="0" collapsed="false">
      <c r="A27" s="2" t="s">
        <v>128</v>
      </c>
      <c r="B27" s="2" t="s">
        <v>129</v>
      </c>
      <c r="C27" s="2" t="s">
        <v>10</v>
      </c>
      <c r="D27" s="2" t="s">
        <v>11</v>
      </c>
      <c r="E27" s="2" t="s">
        <v>130</v>
      </c>
      <c r="F27" s="2" t="s">
        <v>13</v>
      </c>
      <c r="G27" s="2" t="s">
        <v>131</v>
      </c>
      <c r="H27" s="2" t="s">
        <v>123</v>
      </c>
    </row>
    <row r="28" customFormat="false" ht="15" hidden="false" customHeight="false" outlineLevel="0" collapsed="false">
      <c r="A28" s="2" t="s">
        <v>132</v>
      </c>
      <c r="B28" s="2" t="s">
        <v>133</v>
      </c>
      <c r="C28" s="2" t="s">
        <v>10</v>
      </c>
      <c r="D28" s="2" t="s">
        <v>11</v>
      </c>
      <c r="E28" s="2" t="s">
        <v>134</v>
      </c>
      <c r="F28" s="2" t="s">
        <v>13</v>
      </c>
      <c r="G28" s="2" t="s">
        <v>135</v>
      </c>
      <c r="H28" s="2" t="s">
        <v>136</v>
      </c>
    </row>
    <row r="29" customFormat="false" ht="15" hidden="false" customHeight="false" outlineLevel="0" collapsed="false">
      <c r="A29" s="2" t="s">
        <v>137</v>
      </c>
      <c r="B29" s="2" t="s">
        <v>138</v>
      </c>
      <c r="C29" s="2" t="s">
        <v>10</v>
      </c>
      <c r="D29" s="2" t="s">
        <v>11</v>
      </c>
      <c r="E29" s="2" t="s">
        <v>139</v>
      </c>
      <c r="F29" s="2" t="s">
        <v>13</v>
      </c>
      <c r="G29" s="2" t="s">
        <v>131</v>
      </c>
      <c r="H29" s="2" t="s">
        <v>123</v>
      </c>
    </row>
    <row r="30" customFormat="false" ht="15" hidden="false" customHeight="false" outlineLevel="0" collapsed="false">
      <c r="A30" s="2" t="s">
        <v>140</v>
      </c>
      <c r="B30" s="2" t="s">
        <v>141</v>
      </c>
      <c r="C30" s="2" t="s">
        <v>10</v>
      </c>
      <c r="D30" s="2" t="s">
        <v>11</v>
      </c>
      <c r="E30" s="2" t="s">
        <v>142</v>
      </c>
      <c r="F30" s="2" t="s">
        <v>108</v>
      </c>
      <c r="G30" s="2" t="s">
        <v>143</v>
      </c>
      <c r="H30" s="2" t="s">
        <v>144</v>
      </c>
    </row>
    <row r="31" customFormat="false" ht="15" hidden="false" customHeight="false" outlineLevel="0" collapsed="false">
      <c r="A31" s="2" t="s">
        <v>145</v>
      </c>
      <c r="B31" s="2" t="s">
        <v>146</v>
      </c>
      <c r="C31" s="2" t="s">
        <v>10</v>
      </c>
      <c r="D31" s="2" t="s">
        <v>11</v>
      </c>
      <c r="E31" s="2" t="s">
        <v>147</v>
      </c>
      <c r="F31" s="2" t="s">
        <v>108</v>
      </c>
      <c r="G31" s="2" t="s">
        <v>148</v>
      </c>
      <c r="H31" s="2" t="s">
        <v>149</v>
      </c>
    </row>
    <row r="32" customFormat="false" ht="23.85" hidden="false" customHeight="false" outlineLevel="0" collapsed="false">
      <c r="A32" s="2" t="s">
        <v>150</v>
      </c>
      <c r="B32" s="2" t="s">
        <v>151</v>
      </c>
      <c r="C32" s="2" t="s">
        <v>10</v>
      </c>
      <c r="D32" s="2" t="s">
        <v>11</v>
      </c>
      <c r="E32" s="2" t="s">
        <v>152</v>
      </c>
      <c r="F32" s="2" t="s">
        <v>13</v>
      </c>
      <c r="G32" s="2" t="s">
        <v>153</v>
      </c>
      <c r="H32" s="2" t="s">
        <v>154</v>
      </c>
    </row>
    <row r="33" customFormat="false" ht="15" hidden="false" customHeight="false" outlineLevel="0" collapsed="false">
      <c r="A33" s="2" t="s">
        <v>155</v>
      </c>
      <c r="B33" s="2" t="s">
        <v>156</v>
      </c>
      <c r="C33" s="2" t="s">
        <v>10</v>
      </c>
      <c r="D33" s="2" t="s">
        <v>11</v>
      </c>
      <c r="E33" s="2" t="s">
        <v>157</v>
      </c>
      <c r="F33" s="2" t="s">
        <v>13</v>
      </c>
      <c r="G33" s="2" t="s">
        <v>29</v>
      </c>
      <c r="H33" s="2" t="s">
        <v>158</v>
      </c>
    </row>
    <row r="34" customFormat="false" ht="23.85" hidden="false" customHeight="false" outlineLevel="0" collapsed="false">
      <c r="A34" s="2" t="s">
        <v>159</v>
      </c>
      <c r="B34" s="2" t="s">
        <v>160</v>
      </c>
      <c r="C34" s="2" t="s">
        <v>10</v>
      </c>
      <c r="D34" s="2" t="s">
        <v>11</v>
      </c>
      <c r="E34" s="2" t="s">
        <v>161</v>
      </c>
      <c r="F34" s="2" t="s">
        <v>13</v>
      </c>
      <c r="G34" s="2" t="s">
        <v>162</v>
      </c>
      <c r="H34" s="2" t="s">
        <v>163</v>
      </c>
    </row>
    <row r="35" customFormat="false" ht="23.85" hidden="false" customHeight="false" outlineLevel="0" collapsed="false">
      <c r="A35" s="2" t="s">
        <v>164</v>
      </c>
      <c r="B35" s="2" t="s">
        <v>165</v>
      </c>
      <c r="C35" s="2" t="s">
        <v>10</v>
      </c>
      <c r="D35" s="2" t="s">
        <v>11</v>
      </c>
      <c r="E35" s="2" t="s">
        <v>166</v>
      </c>
      <c r="F35" s="2" t="s">
        <v>13</v>
      </c>
      <c r="G35" s="2" t="s">
        <v>167</v>
      </c>
      <c r="H35" s="2" t="s">
        <v>168</v>
      </c>
    </row>
    <row r="36" customFormat="false" ht="15" hidden="false" customHeight="false" outlineLevel="0" collapsed="false">
      <c r="A36" s="2" t="s">
        <v>169</v>
      </c>
      <c r="B36" s="2" t="s">
        <v>170</v>
      </c>
      <c r="C36" s="2" t="s">
        <v>10</v>
      </c>
      <c r="D36" s="2" t="s">
        <v>11</v>
      </c>
      <c r="E36" s="2" t="s">
        <v>171</v>
      </c>
      <c r="F36" s="2" t="s">
        <v>13</v>
      </c>
      <c r="G36" s="2" t="s">
        <v>172</v>
      </c>
      <c r="H36" s="2" t="s">
        <v>173</v>
      </c>
    </row>
    <row r="37" customFormat="false" ht="23.85" hidden="false" customHeight="false" outlineLevel="0" collapsed="false">
      <c r="A37" s="2" t="s">
        <v>174</v>
      </c>
      <c r="B37" s="2" t="s">
        <v>175</v>
      </c>
      <c r="C37" s="2" t="s">
        <v>10</v>
      </c>
      <c r="D37" s="2" t="s">
        <v>11</v>
      </c>
      <c r="E37" s="2" t="s">
        <v>176</v>
      </c>
      <c r="F37" s="2" t="s">
        <v>13</v>
      </c>
      <c r="G37" s="2" t="s">
        <v>177</v>
      </c>
      <c r="H37" s="2" t="s">
        <v>178</v>
      </c>
    </row>
    <row r="38" customFormat="false" ht="15" hidden="false" customHeight="false" outlineLevel="0" collapsed="false">
      <c r="A38" s="2" t="s">
        <v>179</v>
      </c>
      <c r="B38" s="2" t="s">
        <v>180</v>
      </c>
      <c r="C38" s="2" t="s">
        <v>10</v>
      </c>
      <c r="D38" s="2" t="s">
        <v>11</v>
      </c>
      <c r="E38" s="2" t="s">
        <v>181</v>
      </c>
      <c r="F38" s="2" t="s">
        <v>13</v>
      </c>
      <c r="G38" s="2" t="s">
        <v>47</v>
      </c>
      <c r="H38" s="2" t="s">
        <v>182</v>
      </c>
    </row>
    <row r="39" customFormat="false" ht="15" hidden="false" customHeight="false" outlineLevel="0" collapsed="false">
      <c r="A39" s="3" t="s">
        <v>183</v>
      </c>
      <c r="B39" s="3" t="s">
        <v>184</v>
      </c>
      <c r="C39" s="3" t="s">
        <v>185</v>
      </c>
      <c r="D39" s="3" t="s">
        <v>11</v>
      </c>
      <c r="E39" s="3" t="s">
        <v>186</v>
      </c>
      <c r="F39" s="3" t="s">
        <v>13</v>
      </c>
      <c r="G39" s="3" t="s">
        <v>187</v>
      </c>
      <c r="H39" s="3" t="s">
        <v>188</v>
      </c>
    </row>
    <row r="40" customFormat="false" ht="23.85" hidden="false" customHeight="false" outlineLevel="0" collapsed="false">
      <c r="A40" s="3" t="s">
        <v>189</v>
      </c>
      <c r="B40" s="3" t="s">
        <v>190</v>
      </c>
      <c r="C40" s="3" t="s">
        <v>185</v>
      </c>
      <c r="D40" s="3" t="s">
        <v>11</v>
      </c>
      <c r="E40" s="3" t="s">
        <v>191</v>
      </c>
      <c r="F40" s="3" t="s">
        <v>13</v>
      </c>
      <c r="G40" s="3" t="s">
        <v>187</v>
      </c>
      <c r="H40" s="3" t="s">
        <v>192</v>
      </c>
    </row>
    <row r="41" customFormat="false" ht="23.85" hidden="false" customHeight="false" outlineLevel="0" collapsed="false">
      <c r="A41" s="3" t="s">
        <v>193</v>
      </c>
      <c r="B41" s="3" t="s">
        <v>194</v>
      </c>
      <c r="C41" s="3" t="s">
        <v>185</v>
      </c>
      <c r="D41" s="3" t="s">
        <v>11</v>
      </c>
      <c r="E41" s="3" t="s">
        <v>195</v>
      </c>
      <c r="F41" s="3" t="s">
        <v>13</v>
      </c>
      <c r="G41" s="3" t="s">
        <v>187</v>
      </c>
      <c r="H41" s="3" t="s">
        <v>196</v>
      </c>
    </row>
    <row r="42" customFormat="false" ht="15" hidden="false" customHeight="false" outlineLevel="0" collapsed="false">
      <c r="A42" s="3" t="s">
        <v>197</v>
      </c>
      <c r="B42" s="3" t="s">
        <v>198</v>
      </c>
      <c r="C42" s="3" t="s">
        <v>185</v>
      </c>
      <c r="D42" s="3" t="s">
        <v>11</v>
      </c>
      <c r="E42" s="3" t="s">
        <v>199</v>
      </c>
      <c r="F42" s="3" t="s">
        <v>13</v>
      </c>
      <c r="G42" s="3" t="s">
        <v>200</v>
      </c>
      <c r="H42" s="3" t="s">
        <v>201</v>
      </c>
    </row>
    <row r="43" customFormat="false" ht="23.85" hidden="false" customHeight="false" outlineLevel="0" collapsed="false">
      <c r="A43" s="3" t="s">
        <v>202</v>
      </c>
      <c r="B43" s="3" t="s">
        <v>203</v>
      </c>
      <c r="C43" s="3" t="s">
        <v>185</v>
      </c>
      <c r="D43" s="3" t="s">
        <v>11</v>
      </c>
      <c r="E43" s="3" t="s">
        <v>204</v>
      </c>
      <c r="F43" s="3" t="s">
        <v>13</v>
      </c>
      <c r="G43" s="3" t="s">
        <v>61</v>
      </c>
      <c r="H43" s="3" t="s">
        <v>205</v>
      </c>
    </row>
    <row r="44" customFormat="false" ht="15" hidden="false" customHeight="false" outlineLevel="0" collapsed="false">
      <c r="A44" s="3" t="s">
        <v>206</v>
      </c>
      <c r="B44" s="3" t="s">
        <v>207</v>
      </c>
      <c r="C44" s="3" t="s">
        <v>185</v>
      </c>
      <c r="D44" s="3" t="s">
        <v>11</v>
      </c>
      <c r="E44" s="3" t="s">
        <v>208</v>
      </c>
      <c r="F44" s="3" t="s">
        <v>13</v>
      </c>
      <c r="G44" s="3" t="s">
        <v>187</v>
      </c>
      <c r="H44" s="3" t="s">
        <v>209</v>
      </c>
    </row>
    <row r="45" customFormat="false" ht="23.85" hidden="false" customHeight="false" outlineLevel="0" collapsed="false">
      <c r="A45" s="3" t="s">
        <v>210</v>
      </c>
      <c r="B45" s="3" t="s">
        <v>211</v>
      </c>
      <c r="C45" s="3" t="s">
        <v>185</v>
      </c>
      <c r="D45" s="3" t="s">
        <v>11</v>
      </c>
      <c r="E45" s="3" t="s">
        <v>212</v>
      </c>
      <c r="F45" s="3" t="s">
        <v>13</v>
      </c>
      <c r="G45" s="3" t="s">
        <v>213</v>
      </c>
      <c r="H45" s="3" t="s">
        <v>214</v>
      </c>
    </row>
    <row r="46" customFormat="false" ht="23.85" hidden="false" customHeight="false" outlineLevel="0" collapsed="false">
      <c r="A46" s="3" t="s">
        <v>215</v>
      </c>
      <c r="B46" s="3" t="s">
        <v>216</v>
      </c>
      <c r="C46" s="3" t="s">
        <v>185</v>
      </c>
      <c r="D46" s="3" t="s">
        <v>11</v>
      </c>
      <c r="E46" s="3" t="s">
        <v>217</v>
      </c>
      <c r="F46" s="3" t="s">
        <v>13</v>
      </c>
      <c r="G46" s="3" t="s">
        <v>122</v>
      </c>
      <c r="H46" s="3" t="s">
        <v>218</v>
      </c>
    </row>
    <row r="47" customFormat="false" ht="15" hidden="false" customHeight="false" outlineLevel="0" collapsed="false">
      <c r="A47" s="4" t="s">
        <v>219</v>
      </c>
      <c r="B47" s="4" t="s">
        <v>220</v>
      </c>
      <c r="C47" s="4" t="s">
        <v>221</v>
      </c>
      <c r="D47" s="4" t="s">
        <v>11</v>
      </c>
      <c r="E47" s="4" t="s">
        <v>222</v>
      </c>
      <c r="F47" s="4" t="s">
        <v>13</v>
      </c>
      <c r="G47" s="4" t="s">
        <v>223</v>
      </c>
      <c r="H47" s="4" t="s">
        <v>224</v>
      </c>
    </row>
    <row r="48" customFormat="false" ht="15" hidden="false" customHeight="false" outlineLevel="0" collapsed="false">
      <c r="A48" s="4" t="s">
        <v>225</v>
      </c>
      <c r="B48" s="4" t="s">
        <v>226</v>
      </c>
      <c r="C48" s="4" t="s">
        <v>221</v>
      </c>
      <c r="D48" s="4" t="s">
        <v>11</v>
      </c>
      <c r="E48" s="4" t="s">
        <v>227</v>
      </c>
      <c r="F48" s="4" t="s">
        <v>13</v>
      </c>
      <c r="G48" s="4" t="s">
        <v>223</v>
      </c>
      <c r="H48" s="4" t="s">
        <v>228</v>
      </c>
    </row>
    <row r="49" customFormat="false" ht="15" hidden="false" customHeight="false" outlineLevel="0" collapsed="false">
      <c r="A49" s="4" t="s">
        <v>229</v>
      </c>
      <c r="B49" s="4" t="s">
        <v>230</v>
      </c>
      <c r="C49" s="4" t="s">
        <v>221</v>
      </c>
      <c r="D49" s="4" t="s">
        <v>11</v>
      </c>
      <c r="E49" s="4" t="s">
        <v>231</v>
      </c>
      <c r="F49" s="4" t="s">
        <v>13</v>
      </c>
      <c r="G49" s="4" t="s">
        <v>223</v>
      </c>
      <c r="H49" s="4" t="s">
        <v>232</v>
      </c>
    </row>
    <row r="50" customFormat="false" ht="15" hidden="false" customHeight="false" outlineLevel="0" collapsed="false">
      <c r="A50" s="4" t="s">
        <v>233</v>
      </c>
      <c r="B50" s="4" t="s">
        <v>234</v>
      </c>
      <c r="C50" s="4" t="s">
        <v>221</v>
      </c>
      <c r="D50" s="4" t="s">
        <v>11</v>
      </c>
      <c r="E50" s="4" t="s">
        <v>235</v>
      </c>
      <c r="F50" s="4" t="s">
        <v>13</v>
      </c>
      <c r="G50" s="4" t="s">
        <v>223</v>
      </c>
      <c r="H50" s="4" t="s">
        <v>232</v>
      </c>
    </row>
    <row r="51" customFormat="false" ht="23.85" hidden="false" customHeight="false" outlineLevel="0" collapsed="false">
      <c r="A51" s="4" t="s">
        <v>236</v>
      </c>
      <c r="B51" s="4" t="s">
        <v>237</v>
      </c>
      <c r="C51" s="4" t="s">
        <v>221</v>
      </c>
      <c r="D51" s="4" t="s">
        <v>238</v>
      </c>
      <c r="E51" s="4" t="s">
        <v>239</v>
      </c>
      <c r="F51" s="4" t="s">
        <v>240</v>
      </c>
      <c r="G51" s="4" t="s">
        <v>241</v>
      </c>
      <c r="H51" s="4" t="s">
        <v>118</v>
      </c>
    </row>
    <row r="52" customFormat="false" ht="15" hidden="false" customHeight="false" outlineLevel="0" collapsed="false">
      <c r="A52" s="4" t="s">
        <v>242</v>
      </c>
      <c r="B52" s="4" t="s">
        <v>243</v>
      </c>
      <c r="C52" s="4" t="s">
        <v>221</v>
      </c>
      <c r="D52" s="4" t="s">
        <v>238</v>
      </c>
      <c r="E52" s="4" t="s">
        <v>244</v>
      </c>
      <c r="F52" s="4" t="s">
        <v>241</v>
      </c>
      <c r="G52" s="4" t="s">
        <v>241</v>
      </c>
      <c r="H52" s="4" t="s">
        <v>241</v>
      </c>
    </row>
    <row r="53" customFormat="false" ht="15" hidden="false" customHeight="false" outlineLevel="0" collapsed="false">
      <c r="A53" s="4" t="s">
        <v>245</v>
      </c>
      <c r="B53" s="4" t="s">
        <v>246</v>
      </c>
      <c r="C53" s="4" t="s">
        <v>221</v>
      </c>
      <c r="D53" s="4" t="s">
        <v>11</v>
      </c>
      <c r="E53" s="4" t="s">
        <v>247</v>
      </c>
      <c r="F53" s="4" t="s">
        <v>13</v>
      </c>
      <c r="G53" s="4" t="s">
        <v>223</v>
      </c>
      <c r="H53" s="4" t="s">
        <v>248</v>
      </c>
    </row>
    <row r="54" customFormat="false" ht="15" hidden="false" customHeight="false" outlineLevel="0" collapsed="false">
      <c r="A54" s="4" t="s">
        <v>249</v>
      </c>
      <c r="B54" s="4" t="s">
        <v>250</v>
      </c>
      <c r="C54" s="4" t="s">
        <v>221</v>
      </c>
      <c r="D54" s="4" t="s">
        <v>238</v>
      </c>
      <c r="E54" s="4" t="s">
        <v>251</v>
      </c>
      <c r="F54" s="4" t="s">
        <v>240</v>
      </c>
      <c r="G54" s="4" t="s">
        <v>241</v>
      </c>
      <c r="H54" s="4" t="s">
        <v>118</v>
      </c>
    </row>
    <row r="55" customFormat="false" ht="15" hidden="false" customHeight="false" outlineLevel="0" collapsed="false">
      <c r="A55" s="4" t="s">
        <v>252</v>
      </c>
      <c r="B55" s="4" t="s">
        <v>253</v>
      </c>
      <c r="C55" s="4" t="s">
        <v>221</v>
      </c>
      <c r="D55" s="4" t="s">
        <v>11</v>
      </c>
      <c r="E55" s="4" t="s">
        <v>254</v>
      </c>
      <c r="F55" s="4" t="s">
        <v>13</v>
      </c>
      <c r="G55" s="4" t="s">
        <v>255</v>
      </c>
      <c r="H55" s="4" t="s">
        <v>214</v>
      </c>
    </row>
    <row r="56" customFormat="false" ht="15" hidden="false" customHeight="false" outlineLevel="0" collapsed="false">
      <c r="A56" s="4" t="s">
        <v>256</v>
      </c>
      <c r="B56" s="4" t="s">
        <v>257</v>
      </c>
      <c r="C56" s="4" t="s">
        <v>221</v>
      </c>
      <c r="D56" s="4" t="s">
        <v>11</v>
      </c>
      <c r="E56" s="4" t="s">
        <v>258</v>
      </c>
      <c r="F56" s="4" t="s">
        <v>13</v>
      </c>
      <c r="G56" s="4" t="s">
        <v>76</v>
      </c>
      <c r="H56" s="4" t="s">
        <v>259</v>
      </c>
    </row>
    <row r="57" customFormat="false" ht="23.85" hidden="false" customHeight="false" outlineLevel="0" collapsed="false">
      <c r="A57" s="4" t="s">
        <v>260</v>
      </c>
      <c r="B57" s="4" t="s">
        <v>261</v>
      </c>
      <c r="C57" s="4" t="s">
        <v>221</v>
      </c>
      <c r="D57" s="4" t="s">
        <v>238</v>
      </c>
      <c r="E57" s="4" t="s">
        <v>262</v>
      </c>
      <c r="F57" s="4" t="s">
        <v>240</v>
      </c>
      <c r="G57" s="4" t="s">
        <v>241</v>
      </c>
      <c r="H57" s="4" t="s">
        <v>118</v>
      </c>
    </row>
    <row r="58" customFormat="false" ht="15" hidden="false" customHeight="false" outlineLevel="0" collapsed="false">
      <c r="A58" s="4" t="s">
        <v>263</v>
      </c>
      <c r="B58" s="4" t="s">
        <v>264</v>
      </c>
      <c r="C58" s="4" t="s">
        <v>221</v>
      </c>
      <c r="D58" s="4" t="s">
        <v>238</v>
      </c>
      <c r="E58" s="4" t="s">
        <v>265</v>
      </c>
      <c r="F58" s="4" t="s">
        <v>240</v>
      </c>
      <c r="G58" s="4" t="s">
        <v>241</v>
      </c>
      <c r="H58" s="4" t="s">
        <v>118</v>
      </c>
    </row>
    <row r="59" customFormat="false" ht="15" hidden="false" customHeight="false" outlineLevel="0" collapsed="false">
      <c r="A59" s="4" t="s">
        <v>266</v>
      </c>
      <c r="B59" s="4" t="s">
        <v>267</v>
      </c>
      <c r="C59" s="4" t="s">
        <v>221</v>
      </c>
      <c r="D59" s="4" t="s">
        <v>11</v>
      </c>
      <c r="E59" s="4" t="s">
        <v>268</v>
      </c>
      <c r="F59" s="4" t="s">
        <v>13</v>
      </c>
      <c r="G59" s="4" t="s">
        <v>269</v>
      </c>
      <c r="H59" s="4" t="s">
        <v>270</v>
      </c>
    </row>
    <row r="60" customFormat="false" ht="23.85" hidden="false" customHeight="false" outlineLevel="0" collapsed="false">
      <c r="A60" s="4" t="s">
        <v>271</v>
      </c>
      <c r="B60" s="4" t="s">
        <v>272</v>
      </c>
      <c r="C60" s="4" t="s">
        <v>221</v>
      </c>
      <c r="D60" s="4" t="s">
        <v>11</v>
      </c>
      <c r="E60" s="4" t="s">
        <v>273</v>
      </c>
      <c r="F60" s="4" t="s">
        <v>13</v>
      </c>
      <c r="G60" s="4" t="s">
        <v>274</v>
      </c>
      <c r="H60" s="4" t="s">
        <v>275</v>
      </c>
    </row>
    <row r="61" customFormat="false" ht="15" hidden="false" customHeight="false" outlineLevel="0" collapsed="false">
      <c r="A61" s="5" t="s">
        <v>276</v>
      </c>
      <c r="B61" s="5" t="s">
        <v>277</v>
      </c>
      <c r="C61" s="5" t="s">
        <v>278</v>
      </c>
      <c r="D61" s="5" t="s">
        <v>11</v>
      </c>
      <c r="E61" s="5" t="s">
        <v>279</v>
      </c>
      <c r="F61" s="5" t="s">
        <v>13</v>
      </c>
      <c r="G61" s="5" t="s">
        <v>213</v>
      </c>
      <c r="H61" s="5" t="s">
        <v>280</v>
      </c>
    </row>
    <row r="62" customFormat="false" ht="23.85" hidden="false" customHeight="false" outlineLevel="0" collapsed="false">
      <c r="A62" s="5" t="s">
        <v>281</v>
      </c>
      <c r="B62" s="5" t="s">
        <v>282</v>
      </c>
      <c r="C62" s="5" t="s">
        <v>278</v>
      </c>
      <c r="D62" s="5" t="s">
        <v>11</v>
      </c>
      <c r="E62" s="5" t="s">
        <v>283</v>
      </c>
      <c r="F62" s="5" t="s">
        <v>13</v>
      </c>
      <c r="G62" s="5" t="s">
        <v>81</v>
      </c>
      <c r="H62" s="5" t="s">
        <v>284</v>
      </c>
    </row>
    <row r="63" customFormat="false" ht="15" hidden="false" customHeight="false" outlineLevel="0" collapsed="false">
      <c r="A63" s="5" t="s">
        <v>285</v>
      </c>
      <c r="B63" s="5" t="s">
        <v>286</v>
      </c>
      <c r="C63" s="5" t="s">
        <v>278</v>
      </c>
      <c r="D63" s="5" t="s">
        <v>11</v>
      </c>
      <c r="E63" s="5" t="s">
        <v>287</v>
      </c>
      <c r="F63" s="5" t="s">
        <v>13</v>
      </c>
      <c r="G63" s="5" t="s">
        <v>52</v>
      </c>
      <c r="H63" s="5" t="s">
        <v>288</v>
      </c>
    </row>
    <row r="64" customFormat="false" ht="15" hidden="false" customHeight="false" outlineLevel="0" collapsed="false">
      <c r="A64" s="5" t="s">
        <v>289</v>
      </c>
      <c r="B64" s="5" t="s">
        <v>290</v>
      </c>
      <c r="C64" s="5" t="s">
        <v>278</v>
      </c>
      <c r="D64" s="5" t="s">
        <v>11</v>
      </c>
      <c r="E64" s="5" t="s">
        <v>291</v>
      </c>
      <c r="F64" s="5" t="s">
        <v>13</v>
      </c>
      <c r="G64" s="5" t="s">
        <v>292</v>
      </c>
      <c r="H64" s="5" t="s">
        <v>293</v>
      </c>
    </row>
    <row r="65" customFormat="false" ht="15" hidden="false" customHeight="false" outlineLevel="0" collapsed="false">
      <c r="A65" s="5" t="s">
        <v>294</v>
      </c>
      <c r="B65" s="5" t="s">
        <v>295</v>
      </c>
      <c r="C65" s="5" t="s">
        <v>278</v>
      </c>
      <c r="D65" s="5" t="s">
        <v>11</v>
      </c>
      <c r="E65" s="5" t="s">
        <v>296</v>
      </c>
      <c r="F65" s="5" t="s">
        <v>13</v>
      </c>
      <c r="G65" s="5" t="s">
        <v>52</v>
      </c>
      <c r="H65" s="5" t="s">
        <v>297</v>
      </c>
    </row>
    <row r="66" customFormat="false" ht="15" hidden="false" customHeight="false" outlineLevel="0" collapsed="false">
      <c r="A66" s="5" t="s">
        <v>298</v>
      </c>
      <c r="B66" s="5" t="s">
        <v>299</v>
      </c>
      <c r="C66" s="5" t="s">
        <v>278</v>
      </c>
      <c r="D66" s="5" t="s">
        <v>11</v>
      </c>
      <c r="E66" s="5" t="s">
        <v>300</v>
      </c>
      <c r="F66" s="5" t="s">
        <v>13</v>
      </c>
      <c r="G66" s="5" t="s">
        <v>301</v>
      </c>
      <c r="H66" s="5" t="s">
        <v>302</v>
      </c>
    </row>
    <row r="67" customFormat="false" ht="15" hidden="false" customHeight="false" outlineLevel="0" collapsed="false">
      <c r="A67" s="5" t="s">
        <v>303</v>
      </c>
      <c r="B67" s="5" t="s">
        <v>304</v>
      </c>
      <c r="C67" s="5" t="s">
        <v>278</v>
      </c>
      <c r="D67" s="5" t="s">
        <v>11</v>
      </c>
      <c r="E67" s="5" t="s">
        <v>305</v>
      </c>
      <c r="F67" s="5" t="s">
        <v>13</v>
      </c>
      <c r="G67" s="5" t="s">
        <v>269</v>
      </c>
      <c r="H67" s="5" t="s">
        <v>306</v>
      </c>
    </row>
    <row r="68" customFormat="false" ht="15" hidden="false" customHeight="false" outlineLevel="0" collapsed="false">
      <c r="A68" s="5" t="s">
        <v>307</v>
      </c>
      <c r="B68" s="5" t="s">
        <v>308</v>
      </c>
      <c r="C68" s="5" t="s">
        <v>278</v>
      </c>
      <c r="D68" s="5" t="s">
        <v>11</v>
      </c>
      <c r="E68" s="5" t="s">
        <v>309</v>
      </c>
      <c r="F68" s="5" t="s">
        <v>108</v>
      </c>
      <c r="G68" s="5" t="s">
        <v>310</v>
      </c>
      <c r="H68" s="5" t="s">
        <v>311</v>
      </c>
    </row>
    <row r="69" customFormat="false" ht="23.85" hidden="false" customHeight="false" outlineLevel="0" collapsed="false">
      <c r="A69" s="5" t="s">
        <v>312</v>
      </c>
      <c r="B69" s="5" t="s">
        <v>313</v>
      </c>
      <c r="C69" s="5" t="s">
        <v>278</v>
      </c>
      <c r="D69" s="5" t="s">
        <v>11</v>
      </c>
      <c r="E69" s="5" t="s">
        <v>314</v>
      </c>
      <c r="F69" s="5" t="s">
        <v>13</v>
      </c>
      <c r="G69" s="5" t="s">
        <v>315</v>
      </c>
      <c r="H69" s="5" t="s">
        <v>316</v>
      </c>
    </row>
    <row r="70" customFormat="false" ht="15" hidden="false" customHeight="false" outlineLevel="0" collapsed="false">
      <c r="A70" s="5" t="s">
        <v>317</v>
      </c>
      <c r="B70" s="5" t="s">
        <v>318</v>
      </c>
      <c r="C70" s="5" t="s">
        <v>278</v>
      </c>
      <c r="D70" s="5" t="s">
        <v>11</v>
      </c>
      <c r="E70" s="5" t="s">
        <v>319</v>
      </c>
      <c r="F70" s="5" t="s">
        <v>13</v>
      </c>
      <c r="G70" s="5" t="s">
        <v>162</v>
      </c>
      <c r="H70" s="5" t="s">
        <v>320</v>
      </c>
    </row>
    <row r="71" customFormat="false" ht="15" hidden="false" customHeight="false" outlineLevel="0" collapsed="false">
      <c r="A71" s="5" t="s">
        <v>321</v>
      </c>
      <c r="B71" s="5" t="s">
        <v>322</v>
      </c>
      <c r="C71" s="5" t="s">
        <v>278</v>
      </c>
      <c r="D71" s="5" t="s">
        <v>11</v>
      </c>
      <c r="E71" s="5" t="s">
        <v>323</v>
      </c>
      <c r="F71" s="5" t="s">
        <v>13</v>
      </c>
      <c r="G71" s="5" t="s">
        <v>52</v>
      </c>
      <c r="H71" s="5" t="s">
        <v>324</v>
      </c>
    </row>
    <row r="72" customFormat="false" ht="15" hidden="false" customHeight="false" outlineLevel="0" collapsed="false">
      <c r="A72" s="5" t="s">
        <v>325</v>
      </c>
      <c r="B72" s="5" t="s">
        <v>326</v>
      </c>
      <c r="C72" s="5" t="s">
        <v>278</v>
      </c>
      <c r="D72" s="5" t="s">
        <v>11</v>
      </c>
      <c r="E72" s="5" t="s">
        <v>327</v>
      </c>
      <c r="F72" s="5" t="s">
        <v>13</v>
      </c>
      <c r="G72" s="5" t="s">
        <v>52</v>
      </c>
      <c r="H72" s="5" t="s">
        <v>328</v>
      </c>
    </row>
    <row r="73" customFormat="false" ht="23.85" hidden="false" customHeight="false" outlineLevel="0" collapsed="false">
      <c r="A73" s="5" t="s">
        <v>329</v>
      </c>
      <c r="B73" s="5" t="s">
        <v>330</v>
      </c>
      <c r="C73" s="5" t="s">
        <v>278</v>
      </c>
      <c r="D73" s="5" t="s">
        <v>11</v>
      </c>
      <c r="E73" s="5" t="s">
        <v>331</v>
      </c>
      <c r="F73" s="5" t="s">
        <v>13</v>
      </c>
      <c r="G73" s="5" t="s">
        <v>143</v>
      </c>
      <c r="H73" s="5" t="s">
        <v>332</v>
      </c>
    </row>
    <row r="74" customFormat="false" ht="15" hidden="false" customHeight="false" outlineLevel="0" collapsed="false">
      <c r="A74" s="5" t="s">
        <v>333</v>
      </c>
      <c r="B74" s="5" t="s">
        <v>334</v>
      </c>
      <c r="C74" s="5" t="s">
        <v>278</v>
      </c>
      <c r="D74" s="5" t="s">
        <v>11</v>
      </c>
      <c r="E74" s="5" t="s">
        <v>335</v>
      </c>
      <c r="F74" s="5" t="s">
        <v>13</v>
      </c>
      <c r="G74" s="5" t="s">
        <v>143</v>
      </c>
      <c r="H74" s="5" t="s">
        <v>336</v>
      </c>
    </row>
    <row r="75" customFormat="false" ht="15" hidden="false" customHeight="false" outlineLevel="0" collapsed="false">
      <c r="A75" s="5" t="s">
        <v>337</v>
      </c>
      <c r="B75" s="5" t="s">
        <v>338</v>
      </c>
      <c r="C75" s="5" t="s">
        <v>278</v>
      </c>
      <c r="D75" s="5" t="s">
        <v>11</v>
      </c>
      <c r="E75" s="5" t="s">
        <v>339</v>
      </c>
      <c r="F75" s="5" t="s">
        <v>108</v>
      </c>
      <c r="G75" s="5" t="s">
        <v>340</v>
      </c>
      <c r="H75" s="5" t="s">
        <v>341</v>
      </c>
    </row>
    <row r="76" customFormat="false" ht="15" hidden="false" customHeight="false" outlineLevel="0" collapsed="false">
      <c r="A76" s="5" t="s">
        <v>342</v>
      </c>
      <c r="B76" s="5" t="s">
        <v>343</v>
      </c>
      <c r="C76" s="5" t="s">
        <v>278</v>
      </c>
      <c r="D76" s="5" t="s">
        <v>11</v>
      </c>
      <c r="E76" s="5" t="s">
        <v>344</v>
      </c>
      <c r="F76" s="5" t="s">
        <v>108</v>
      </c>
      <c r="G76" s="5" t="s">
        <v>340</v>
      </c>
      <c r="H76" s="5" t="s">
        <v>345</v>
      </c>
    </row>
    <row r="77" customFormat="false" ht="23.85" hidden="false" customHeight="false" outlineLevel="0" collapsed="false">
      <c r="A77" s="5" t="s">
        <v>346</v>
      </c>
      <c r="B77" s="5" t="s">
        <v>347</v>
      </c>
      <c r="C77" s="5" t="s">
        <v>278</v>
      </c>
      <c r="D77" s="5" t="s">
        <v>11</v>
      </c>
      <c r="E77" s="5" t="s">
        <v>348</v>
      </c>
      <c r="F77" s="5" t="s">
        <v>13</v>
      </c>
      <c r="G77" s="5" t="s">
        <v>340</v>
      </c>
      <c r="H77" s="5" t="s">
        <v>349</v>
      </c>
    </row>
    <row r="78" customFormat="false" ht="23.85" hidden="false" customHeight="false" outlineLevel="0" collapsed="false">
      <c r="A78" s="5" t="s">
        <v>350</v>
      </c>
      <c r="B78" s="5" t="s">
        <v>351</v>
      </c>
      <c r="C78" s="5" t="s">
        <v>278</v>
      </c>
      <c r="D78" s="5" t="s">
        <v>11</v>
      </c>
      <c r="E78" s="5" t="s">
        <v>352</v>
      </c>
      <c r="F78" s="5" t="s">
        <v>13</v>
      </c>
      <c r="G78" s="5" t="s">
        <v>52</v>
      </c>
      <c r="H78" s="5" t="s">
        <v>353</v>
      </c>
    </row>
    <row r="79" customFormat="false" ht="15" hidden="false" customHeight="false" outlineLevel="0" collapsed="false">
      <c r="A79" s="5" t="s">
        <v>354</v>
      </c>
      <c r="B79" s="5" t="s">
        <v>355</v>
      </c>
      <c r="C79" s="5" t="s">
        <v>278</v>
      </c>
      <c r="D79" s="5" t="s">
        <v>11</v>
      </c>
      <c r="E79" s="5" t="s">
        <v>356</v>
      </c>
      <c r="F79" s="5" t="s">
        <v>13</v>
      </c>
      <c r="G79" s="5" t="s">
        <v>47</v>
      </c>
      <c r="H79" s="5" t="s">
        <v>357</v>
      </c>
    </row>
    <row r="80" customFormat="false" ht="23.85" hidden="false" customHeight="false" outlineLevel="0" collapsed="false">
      <c r="A80" s="5" t="s">
        <v>358</v>
      </c>
      <c r="B80" s="5" t="s">
        <v>359</v>
      </c>
      <c r="C80" s="5" t="s">
        <v>278</v>
      </c>
      <c r="D80" s="5" t="s">
        <v>11</v>
      </c>
      <c r="E80" s="5" t="s">
        <v>360</v>
      </c>
      <c r="F80" s="5" t="s">
        <v>13</v>
      </c>
      <c r="G80" s="5" t="s">
        <v>213</v>
      </c>
      <c r="H80" s="5" t="s">
        <v>361</v>
      </c>
    </row>
    <row r="81" customFormat="false" ht="15" hidden="false" customHeight="false" outlineLevel="0" collapsed="false">
      <c r="A81" s="5" t="s">
        <v>362</v>
      </c>
      <c r="B81" s="5" t="s">
        <v>363</v>
      </c>
      <c r="C81" s="5" t="s">
        <v>278</v>
      </c>
      <c r="D81" s="5" t="s">
        <v>11</v>
      </c>
      <c r="E81" s="5" t="s">
        <v>364</v>
      </c>
      <c r="F81" s="5" t="s">
        <v>13</v>
      </c>
      <c r="G81" s="5" t="s">
        <v>76</v>
      </c>
      <c r="H81" s="5" t="s">
        <v>365</v>
      </c>
    </row>
    <row r="82" customFormat="false" ht="15" hidden="false" customHeight="false" outlineLevel="0" collapsed="false">
      <c r="A82" s="5" t="s">
        <v>366</v>
      </c>
      <c r="B82" s="5" t="s">
        <v>367</v>
      </c>
      <c r="C82" s="5" t="s">
        <v>278</v>
      </c>
      <c r="D82" s="5" t="s">
        <v>11</v>
      </c>
      <c r="E82" s="5" t="s">
        <v>368</v>
      </c>
      <c r="F82" s="5" t="s">
        <v>13</v>
      </c>
      <c r="G82" s="5" t="s">
        <v>213</v>
      </c>
      <c r="H82" s="5" t="s">
        <v>324</v>
      </c>
    </row>
    <row r="83" customFormat="false" ht="15" hidden="false" customHeight="false" outlineLevel="0" collapsed="false">
      <c r="A83" s="5" t="s">
        <v>369</v>
      </c>
      <c r="B83" s="5" t="s">
        <v>370</v>
      </c>
      <c r="C83" s="5" t="s">
        <v>278</v>
      </c>
      <c r="D83" s="5" t="s">
        <v>11</v>
      </c>
      <c r="E83" s="5" t="s">
        <v>371</v>
      </c>
      <c r="F83" s="5" t="s">
        <v>13</v>
      </c>
      <c r="G83" s="5" t="s">
        <v>213</v>
      </c>
      <c r="H83" s="5" t="s">
        <v>372</v>
      </c>
    </row>
    <row r="84" customFormat="false" ht="15" hidden="false" customHeight="false" outlineLevel="0" collapsed="false">
      <c r="A84" s="5" t="s">
        <v>373</v>
      </c>
      <c r="B84" s="5" t="s">
        <v>374</v>
      </c>
      <c r="C84" s="5" t="s">
        <v>278</v>
      </c>
      <c r="D84" s="5" t="s">
        <v>11</v>
      </c>
      <c r="E84" s="5" t="s">
        <v>375</v>
      </c>
      <c r="F84" s="5" t="s">
        <v>13</v>
      </c>
      <c r="G84" s="5" t="s">
        <v>376</v>
      </c>
      <c r="H84" s="5" t="s">
        <v>377</v>
      </c>
    </row>
    <row r="85" customFormat="false" ht="15" hidden="false" customHeight="false" outlineLevel="0" collapsed="false">
      <c r="A85" s="5" t="s">
        <v>378</v>
      </c>
      <c r="B85" s="5" t="s">
        <v>379</v>
      </c>
      <c r="C85" s="5" t="s">
        <v>278</v>
      </c>
      <c r="D85" s="5" t="s">
        <v>11</v>
      </c>
      <c r="E85" s="5" t="s">
        <v>380</v>
      </c>
      <c r="F85" s="5" t="s">
        <v>13</v>
      </c>
      <c r="G85" s="5" t="s">
        <v>47</v>
      </c>
      <c r="H85" s="5" t="s">
        <v>357</v>
      </c>
    </row>
    <row r="86" customFormat="false" ht="23.85" hidden="false" customHeight="false" outlineLevel="0" collapsed="false">
      <c r="A86" s="5" t="s">
        <v>381</v>
      </c>
      <c r="B86" s="5" t="s">
        <v>382</v>
      </c>
      <c r="C86" s="5" t="s">
        <v>278</v>
      </c>
      <c r="D86" s="5" t="s">
        <v>11</v>
      </c>
      <c r="E86" s="5" t="s">
        <v>383</v>
      </c>
      <c r="F86" s="5" t="s">
        <v>108</v>
      </c>
      <c r="G86" s="5" t="s">
        <v>47</v>
      </c>
      <c r="H86" s="5" t="s">
        <v>384</v>
      </c>
    </row>
    <row r="87" customFormat="false" ht="23.85" hidden="false" customHeight="false" outlineLevel="0" collapsed="false">
      <c r="A87" s="5" t="s">
        <v>385</v>
      </c>
      <c r="B87" s="5" t="s">
        <v>386</v>
      </c>
      <c r="C87" s="5" t="s">
        <v>278</v>
      </c>
      <c r="D87" s="5" t="s">
        <v>11</v>
      </c>
      <c r="E87" s="5" t="s">
        <v>387</v>
      </c>
      <c r="F87" s="5" t="s">
        <v>13</v>
      </c>
      <c r="G87" s="5" t="s">
        <v>47</v>
      </c>
      <c r="H87" s="5" t="s">
        <v>388</v>
      </c>
    </row>
    <row r="88" customFormat="false" ht="15" hidden="false" customHeight="false" outlineLevel="0" collapsed="false">
      <c r="A88" s="5" t="s">
        <v>389</v>
      </c>
      <c r="B88" s="5" t="s">
        <v>390</v>
      </c>
      <c r="C88" s="5" t="s">
        <v>278</v>
      </c>
      <c r="D88" s="5" t="s">
        <v>11</v>
      </c>
      <c r="E88" s="5" t="s">
        <v>391</v>
      </c>
      <c r="F88" s="5" t="s">
        <v>108</v>
      </c>
      <c r="G88" s="5" t="s">
        <v>47</v>
      </c>
      <c r="H88" s="5" t="s">
        <v>392</v>
      </c>
    </row>
    <row r="89" customFormat="false" ht="15" hidden="false" customHeight="false" outlineLevel="0" collapsed="false">
      <c r="A89" s="5" t="s">
        <v>393</v>
      </c>
      <c r="B89" s="5" t="s">
        <v>394</v>
      </c>
      <c r="C89" s="5" t="s">
        <v>278</v>
      </c>
      <c r="D89" s="5" t="s">
        <v>11</v>
      </c>
      <c r="E89" s="5" t="s">
        <v>395</v>
      </c>
      <c r="F89" s="5" t="s">
        <v>13</v>
      </c>
      <c r="G89" s="5" t="s">
        <v>47</v>
      </c>
      <c r="H89" s="5" t="s">
        <v>396</v>
      </c>
    </row>
    <row r="90" customFormat="false" ht="23.85" hidden="false" customHeight="false" outlineLevel="0" collapsed="false">
      <c r="A90" s="5" t="s">
        <v>397</v>
      </c>
      <c r="B90" s="5" t="s">
        <v>398</v>
      </c>
      <c r="C90" s="5" t="s">
        <v>278</v>
      </c>
      <c r="D90" s="5" t="s">
        <v>11</v>
      </c>
      <c r="E90" s="5" t="s">
        <v>399</v>
      </c>
      <c r="F90" s="5" t="s">
        <v>13</v>
      </c>
      <c r="G90" s="5" t="s">
        <v>47</v>
      </c>
      <c r="H90" s="5" t="s">
        <v>48</v>
      </c>
    </row>
    <row r="91" customFormat="false" ht="23.85" hidden="false" customHeight="false" outlineLevel="0" collapsed="false">
      <c r="A91" s="5" t="s">
        <v>400</v>
      </c>
      <c r="B91" s="5" t="s">
        <v>401</v>
      </c>
      <c r="C91" s="5" t="s">
        <v>278</v>
      </c>
      <c r="D91" s="5" t="s">
        <v>11</v>
      </c>
      <c r="E91" s="5" t="s">
        <v>402</v>
      </c>
      <c r="F91" s="5" t="s">
        <v>13</v>
      </c>
      <c r="G91" s="5" t="s">
        <v>292</v>
      </c>
      <c r="H91" s="5" t="s">
        <v>324</v>
      </c>
    </row>
    <row r="92" customFormat="false" ht="23.85" hidden="false" customHeight="false" outlineLevel="0" collapsed="false">
      <c r="A92" s="5" t="s">
        <v>403</v>
      </c>
      <c r="B92" s="5" t="s">
        <v>404</v>
      </c>
      <c r="C92" s="5" t="s">
        <v>278</v>
      </c>
      <c r="D92" s="5" t="s">
        <v>11</v>
      </c>
      <c r="E92" s="5" t="s">
        <v>405</v>
      </c>
      <c r="F92" s="5" t="s">
        <v>13</v>
      </c>
      <c r="G92" s="5" t="s">
        <v>47</v>
      </c>
      <c r="H92" s="5" t="s">
        <v>406</v>
      </c>
    </row>
    <row r="93" customFormat="false" ht="15" hidden="false" customHeight="false" outlineLevel="0" collapsed="false">
      <c r="A93" s="5" t="s">
        <v>407</v>
      </c>
      <c r="B93" s="5" t="s">
        <v>408</v>
      </c>
      <c r="C93" s="5" t="s">
        <v>278</v>
      </c>
      <c r="D93" s="5" t="s">
        <v>11</v>
      </c>
      <c r="E93" s="5" t="s">
        <v>409</v>
      </c>
      <c r="F93" s="5" t="s">
        <v>13</v>
      </c>
      <c r="G93" s="5" t="s">
        <v>52</v>
      </c>
      <c r="H93" s="5" t="s">
        <v>324</v>
      </c>
    </row>
    <row r="94" customFormat="false" ht="23.85" hidden="false" customHeight="false" outlineLevel="0" collapsed="false">
      <c r="A94" s="5" t="s">
        <v>410</v>
      </c>
      <c r="B94" s="5" t="s">
        <v>411</v>
      </c>
      <c r="C94" s="5" t="s">
        <v>278</v>
      </c>
      <c r="D94" s="5" t="s">
        <v>11</v>
      </c>
      <c r="E94" s="5" t="s">
        <v>412</v>
      </c>
      <c r="F94" s="5" t="s">
        <v>13</v>
      </c>
      <c r="G94" s="5" t="s">
        <v>172</v>
      </c>
      <c r="H94" s="5" t="s">
        <v>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6" t="s">
        <v>414</v>
      </c>
    </row>
    <row r="3" customFormat="false" ht="15" hidden="false" customHeight="false" outlineLevel="0" collapsed="false">
      <c r="A3" s="0" t="s">
        <v>415</v>
      </c>
      <c r="B3" s="0" t="n">
        <v>93</v>
      </c>
    </row>
    <row r="4" customFormat="false" ht="15" hidden="false" customHeight="false" outlineLevel="0" collapsed="false">
      <c r="A4" s="0" t="s">
        <v>416</v>
      </c>
      <c r="B4" s="0" t="n">
        <f aca="false">COUNTIF('Statement of Applicability'!D2:D94,"Yes")</f>
        <v>88</v>
      </c>
    </row>
    <row r="5" customFormat="false" ht="15" hidden="false" customHeight="false" outlineLevel="0" collapsed="false">
      <c r="A5" s="0" t="s">
        <v>417</v>
      </c>
      <c r="B5" s="0" t="n">
        <f aca="false">COUNTIF('Statement of Applicability'!D2:D94,"Not Applicable")</f>
        <v>5</v>
      </c>
    </row>
    <row r="7" customFormat="false" ht="15" hidden="false" customHeight="false" outlineLevel="0" collapsed="false">
      <c r="A7" s="7" t="s">
        <v>418</v>
      </c>
    </row>
    <row r="8" customFormat="false" ht="15" hidden="false" customHeight="false" outlineLevel="0" collapsed="false">
      <c r="A8" s="0" t="s">
        <v>13</v>
      </c>
      <c r="B8" s="0" t="n">
        <f aca="false">COUNTIF('Statement of Applicability'!F2:F94,"Implemented")</f>
        <v>80</v>
      </c>
    </row>
    <row r="9" customFormat="false" ht="15" hidden="false" customHeight="false" outlineLevel="0" collapsed="false">
      <c r="A9" s="0" t="s">
        <v>108</v>
      </c>
      <c r="B9" s="0" t="n">
        <f aca="false">COUNTIF('Statement of Applicability'!F2:F94,"In Progress")</f>
        <v>8</v>
      </c>
    </row>
    <row r="10" customFormat="false" ht="15" hidden="false" customHeight="false" outlineLevel="0" collapsed="false">
      <c r="A10" s="0" t="s">
        <v>240</v>
      </c>
      <c r="B10" s="0" t="n">
        <f aca="false">COUNTIF('Statement of Applicability'!F2:F94,"N/A - AWS Responsibility")</f>
        <v>4</v>
      </c>
    </row>
    <row r="11" customFormat="false" ht="15" hidden="false" customHeight="false" outlineLevel="0" collapsed="false">
      <c r="A11" s="0" t="s">
        <v>419</v>
      </c>
      <c r="B11" s="0" t="n">
        <f aca="false">COUNTIF('Statement of Applicability'!F2:F94,"N/A")</f>
        <v>1</v>
      </c>
    </row>
    <row r="13" customFormat="false" ht="15" hidden="false" customHeight="false" outlineLevel="0" collapsed="false">
      <c r="A13" s="7" t="s">
        <v>420</v>
      </c>
    </row>
    <row r="14" customFormat="false" ht="15" hidden="false" customHeight="false" outlineLevel="0" collapsed="false">
      <c r="A14" s="0" t="s">
        <v>10</v>
      </c>
      <c r="B14" s="0" t="n">
        <f aca="false">COUNTIF('Statement of Applicability'!C2:C94,"Organizational")</f>
        <v>37</v>
      </c>
    </row>
    <row r="15" customFormat="false" ht="15" hidden="false" customHeight="false" outlineLevel="0" collapsed="false">
      <c r="A15" s="0" t="s">
        <v>185</v>
      </c>
      <c r="B15" s="0" t="n">
        <f aca="false">COUNTIF('Statement of Applicability'!C2:C94,"People")</f>
        <v>8</v>
      </c>
    </row>
    <row r="16" customFormat="false" ht="15" hidden="false" customHeight="false" outlineLevel="0" collapsed="false">
      <c r="A16" s="0" t="s">
        <v>221</v>
      </c>
      <c r="B16" s="0" t="n">
        <f aca="false">COUNTIF('Statement of Applicability'!C2:C94,"Physical")</f>
        <v>14</v>
      </c>
    </row>
    <row r="17" customFormat="false" ht="15" hidden="false" customHeight="false" outlineLevel="0" collapsed="false">
      <c r="A17" s="0" t="s">
        <v>278</v>
      </c>
      <c r="B17" s="0" t="n">
        <f aca="false">COUNTIF('Statement of Applicability'!C2:C94,"Technological")</f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2026-08-22T09:02:21Z</dcterms:created>
  <dc:creator>openpyxl</dc:creator>
  <dc:description/>
  <dc:language>en-US</dc:language>
  <cp:lastModifiedBy/>
  <dcterms:modified xsi:type="dcterms:W3CDTF">2026-08-22T09:02:21Z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